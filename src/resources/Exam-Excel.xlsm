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1.xml" ContentType="application/vnd.openxmlformats-officedocument.spreadsheetml.comments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47" firstSheet="0" activeTab="1" autoFilterDateGrouping="1"/>
  </bookViews>
  <sheets>
    <sheet name="Instrucciones" sheetId="1" state="visible" r:id="rId1"/>
    <sheet name="Principal" sheetId="2" state="visible" r:id="rId2"/>
    <sheet name="Pregunta" sheetId="3" state="visible" r:id="rId3"/>
    <sheet name="BD" sheetId="4" state="visible" r:id="rId4"/>
    <sheet name="Gráficos" sheetId="5" state="visible" r:id="rId5"/>
    <sheet name="Glosario" sheetId="6" state="visible" r:id="rId6"/>
    <sheet name="Anotaciones" sheetId="7" state="visible" r:id="rId7"/>
    <sheet name="Sesion" sheetId="8" state="hidden" r:id="rId8"/>
    <sheet name="Acerca de" sheetId="9" state="visible" r:id="rId9"/>
    <sheet name="LICENSE" sheetId="10" state="visible" r:id="rId10"/>
  </sheets>
  <definedNames>
    <definedName name="_xlnm._FilterDatabase" localSheetId="3" hidden="1">'BD'!$A$1:$T$6</definedName>
    <definedName name="DatosExternos_1" localSheetId="9" hidden="1">LICENSE!#REF!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dd/mm/yyyy\ h:mm:ss"/>
    <numFmt numFmtId="165" formatCode="[h]:mm:ss;@"/>
    <numFmt numFmtId="166" formatCode="[$-F400]h:mm:ss\ AM/PM"/>
  </numFmts>
  <fonts count="64">
    <font>
      <name val="Calibri"/>
      <family val="2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color theme="1"/>
      <sz val="28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4"/>
      <scheme val="minor"/>
    </font>
    <font>
      <name val="Calibri"/>
      <family val="2"/>
      <b val="1"/>
      <color theme="1"/>
      <sz val="18"/>
      <scheme val="minor"/>
    </font>
    <font>
      <name val="Calibri"/>
      <family val="2"/>
      <b val="1"/>
      <sz val="11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rgb="FFFFFF00"/>
      <sz val="11"/>
      <scheme val="minor"/>
    </font>
    <font>
      <name val="Calibri"/>
      <family val="2"/>
      <b val="1"/>
      <color theme="9" tint="-0.499984740745262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20"/>
      <u val="single"/>
      <scheme val="minor"/>
    </font>
    <font>
      <name val="Consolas"/>
      <family val="3"/>
      <color theme="1"/>
      <sz val="11"/>
    </font>
    <font>
      <name val="Consolas"/>
      <family val="3"/>
      <color theme="1"/>
      <sz val="10"/>
    </font>
    <font>
      <name val="Calibri"/>
      <family val="2"/>
      <color theme="10"/>
      <sz val="11"/>
      <u val="single"/>
    </font>
    <font>
      <name val="Consolas"/>
      <family val="3"/>
      <color theme="1"/>
      <sz val="9"/>
    </font>
    <font>
      <name val="Consolas"/>
      <family val="3"/>
      <b val="1"/>
      <color theme="1"/>
      <sz val="9"/>
    </font>
    <font>
      <name val="Consolas"/>
      <family val="3"/>
      <sz val="9"/>
    </font>
    <font>
      <name val="Calibri"/>
      <family val="2"/>
      <b val="1"/>
      <color rgb="FF000000"/>
      <sz val="20"/>
    </font>
    <font>
      <name val="Calibri"/>
      <family val="2"/>
      <color rgb="FF000000"/>
      <sz val="11"/>
    </font>
    <font>
      <name val="Calibri"/>
      <family val="2"/>
      <sz val="11"/>
      <scheme val="minor"/>
    </font>
    <font>
      <name val="Calibri"/>
      <family val="2"/>
      <b val="1"/>
      <color rgb="FF002060"/>
      <sz val="11"/>
      <scheme val="minor"/>
    </font>
    <font>
      <name val="Calibri"/>
      <family val="2"/>
      <b val="1"/>
      <color rgb="FFC00000"/>
      <sz val="11"/>
      <scheme val="minor"/>
    </font>
    <font>
      <name val="Tahoma"/>
      <family val="2"/>
      <color rgb="FF000000"/>
      <sz val="8"/>
    </font>
    <font>
      <name val="Calibri"/>
      <family val="2"/>
      <b val="1"/>
      <color rgb="FF000000"/>
      <sz val="24"/>
    </font>
    <font>
      <name val="Segoe UI"/>
      <family val="2"/>
      <color theme="1"/>
      <sz val="8"/>
    </font>
    <font>
      <name val="Segoe UI"/>
      <family val="2"/>
      <b val="1"/>
      <color theme="1"/>
      <sz val="24"/>
    </font>
    <font>
      <name val="Segoe UI"/>
      <family val="2"/>
      <b val="1"/>
      <color theme="1"/>
      <sz val="18"/>
    </font>
    <font>
      <name val="Segoe UI"/>
      <family val="2"/>
      <b val="1"/>
      <color theme="1"/>
      <sz val="8"/>
    </font>
    <font>
      <name val="Segoe UI"/>
      <family val="2"/>
      <b val="1"/>
      <color theme="1"/>
      <sz val="13.5"/>
    </font>
    <font>
      <name val="Segoe UI"/>
      <family val="2"/>
      <b val="1"/>
      <color rgb="FF00B0F0"/>
      <sz val="13.5"/>
    </font>
    <font>
      <name val="Segoe UI"/>
      <family val="2"/>
      <b val="1"/>
      <color rgb="FF0070C0"/>
      <sz val="24"/>
    </font>
    <font>
      <name val="Segoe UI"/>
      <family val="2"/>
      <b val="1"/>
      <color rgb="FF0070C0"/>
      <sz val="18"/>
    </font>
    <font>
      <name val="Segoe UI"/>
      <family val="2"/>
      <b val="1"/>
      <color rgb="FF0070C0"/>
      <sz val="10"/>
    </font>
    <font>
      <name val="Calibri"/>
      <family val="2"/>
      <color rgb="FF0070C0"/>
      <sz val="11"/>
      <scheme val="minor"/>
    </font>
    <font>
      <name val="Segoe UI"/>
      <family val="2"/>
      <color rgb="FF0070C0"/>
      <sz val="8"/>
    </font>
    <font>
      <name val="Segoe UI"/>
      <family val="2"/>
      <b val="1"/>
      <color rgb="FF0070C0"/>
      <sz val="8"/>
    </font>
    <font>
      <name val="Segoe UI"/>
      <family val="2"/>
      <b val="1"/>
      <color rgb="FF0070C0"/>
      <sz val="13.5"/>
    </font>
    <font>
      <name val="Calibri"/>
      <family val="2"/>
      <b val="1"/>
      <sz val="11"/>
    </font>
    <font>
      <name val="Segoe UI"/>
      <family val="2"/>
      <b val="1"/>
      <color rgb="FFFF0000"/>
      <sz val="13.5"/>
    </font>
    <font>
      <name val="Segoe UI"/>
      <family val="2"/>
      <b val="1"/>
      <color theme="9"/>
      <sz val="13.5"/>
    </font>
    <font>
      <name val="Segoe UI"/>
      <family val="2"/>
      <b val="1"/>
      <color rgb="FF7030A0"/>
      <sz val="13.5"/>
    </font>
    <font>
      <name val="Calibri"/>
      <family val="2"/>
      <color theme="10"/>
      <sz val="10"/>
      <u val="single"/>
    </font>
    <font>
      <name val="Segoe UI"/>
      <family val="2"/>
      <color rgb="FF00B050"/>
      <sz val="8"/>
    </font>
    <font>
      <name val="Segoe UI"/>
      <family val="2"/>
      <b val="1"/>
      <color rgb="FFFF0000"/>
      <sz val="18"/>
    </font>
    <font>
      <name val="Segoe UI"/>
      <family val="2"/>
      <b val="1"/>
      <color rgb="FF00B050"/>
      <sz val="13.5"/>
    </font>
    <font>
      <name val="Segoe UI"/>
      <family val="2"/>
      <b val="1"/>
      <color rgb="FF00B050"/>
      <sz val="18"/>
    </font>
    <font>
      <name val="Segoe UI"/>
      <family val="2"/>
      <b val="1"/>
      <color rgb="FF00B050"/>
      <sz val="24"/>
    </font>
    <font>
      <name val="Segoe UI"/>
      <family val="2"/>
      <sz val="8"/>
    </font>
    <font>
      <name val="Segoe UI"/>
      <family val="2"/>
      <b val="1"/>
      <sz val="8"/>
    </font>
    <font>
      <name val="Segoe UI"/>
      <family val="2"/>
      <i val="1"/>
      <sz val="8"/>
    </font>
    <font>
      <name val="Segoe UI"/>
      <family val="2"/>
      <color theme="9"/>
      <sz val="8"/>
    </font>
    <font>
      <name val="Segoe UI"/>
      <family val="2"/>
      <b val="1"/>
      <color theme="5"/>
      <sz val="13.5"/>
    </font>
    <font>
      <name val="Segoe UI"/>
      <family val="2"/>
      <color theme="7"/>
      <sz val="8"/>
    </font>
    <font>
      <name val="Segoe UI"/>
      <family val="2"/>
      <b val="1"/>
      <color theme="2" tint="-0.499984740745262"/>
      <sz val="13.5"/>
    </font>
    <font>
      <name val="Calibri"/>
      <family val="2"/>
      <b val="1"/>
      <color rgb="FF002060"/>
      <sz val="36"/>
      <scheme val="minor"/>
    </font>
    <font>
      <name val="Calibri"/>
      <family val="2"/>
      <b val="1"/>
      <color rgb="FF0070C0"/>
      <sz val="36"/>
      <scheme val="minor"/>
    </font>
    <font>
      <name val="Calibri"/>
      <family val="2"/>
      <b val="1"/>
      <color rgb="FF92D050"/>
      <sz val="36"/>
      <scheme val="minor"/>
    </font>
    <font>
      <name val="Calibri"/>
      <family val="2"/>
      <b val="1"/>
      <color theme="3" tint="-0.249977111117893"/>
      <sz val="36"/>
      <scheme val="minor"/>
    </font>
    <font>
      <name val="Calibri"/>
      <family val="2"/>
      <b val="1"/>
      <color theme="1" tint="0.249977111117893"/>
      <sz val="10"/>
      <scheme val="minor"/>
    </font>
    <font>
      <name val="Segoe UI"/>
      <family val="2"/>
      <b val="1"/>
      <color theme="3"/>
      <sz val="8"/>
    </font>
    <font>
      <name val="Calibri"/>
      <family val="2"/>
      <b val="1"/>
      <color theme="1"/>
      <sz val="11"/>
      <u val="single"/>
      <scheme val="minor"/>
    </font>
    <font>
      <name val="Segoe UI"/>
      <family val="2"/>
      <b val="1"/>
      <color theme="4" tint="-0.249977111117893"/>
      <sz val="8"/>
    </font>
    <font>
      <name val="Calibri"/>
      <family val="2"/>
      <color rgb="FF004D12"/>
      <sz val="11"/>
      <scheme val="minor"/>
    </font>
  </fonts>
  <fills count="16">
    <fill>
      <patternFill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8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4" fillId="0" borderId="0" applyAlignment="1" applyProtection="1">
      <alignment vertical="top"/>
      <protection locked="0" hidden="0"/>
    </xf>
  </cellStyleXfs>
  <cellXfs count="124">
    <xf numFmtId="0" fontId="0" fillId="0" borderId="0" pivotButton="0" quotePrefix="0" xfId="0"/>
    <xf numFmtId="0" fontId="0" fillId="3" borderId="0" pivotButton="0" quotePrefix="0" xfId="0"/>
    <xf numFmtId="0" fontId="0" fillId="6" borderId="0" applyAlignment="1" pivotButton="0" quotePrefix="0" xfId="0">
      <alignment wrapText="1"/>
    </xf>
    <xf numFmtId="0" fontId="0" fillId="7" borderId="0" pivotButton="0" quotePrefix="0" xfId="0"/>
    <xf numFmtId="0" fontId="1" fillId="2" borderId="0" pivotButton="0" quotePrefix="0" xfId="0"/>
    <xf numFmtId="0" fontId="0" fillId="4" borderId="0" applyAlignment="1" pivotButton="0" quotePrefix="0" xfId="0">
      <alignment wrapText="1"/>
    </xf>
    <xf numFmtId="0" fontId="0" fillId="8" borderId="0" pivotButton="0" quotePrefix="0" xfId="0"/>
    <xf numFmtId="0" fontId="0" fillId="8" borderId="0" applyAlignment="1" pivotButton="0" quotePrefix="0" xfId="0">
      <alignment horizontal="right" vertical="center"/>
    </xf>
    <xf numFmtId="0" fontId="4" fillId="8" borderId="0" applyAlignment="1" pivotButton="0" quotePrefix="0" xfId="0">
      <alignment horizontal="center" vertical="center"/>
    </xf>
    <xf numFmtId="10" fontId="5" fillId="8" borderId="0" applyAlignment="1" pivotButton="0" quotePrefix="0" xfId="0">
      <alignment horizontal="center" vertical="center"/>
    </xf>
    <xf numFmtId="0" fontId="2" fillId="8" borderId="1" applyAlignment="1" pivotButton="0" quotePrefix="0" xfId="0">
      <alignment horizontal="center" vertical="center"/>
    </xf>
    <xf numFmtId="0" fontId="0" fillId="9" borderId="0" pivotButton="0" quotePrefix="0" xfId="0"/>
    <xf numFmtId="0" fontId="0" fillId="0" borderId="2" pivotButton="0" quotePrefix="0" xfId="0"/>
    <xf numFmtId="0" fontId="0" fillId="0" borderId="3" pivotButton="0" quotePrefix="0" xfId="0"/>
    <xf numFmtId="0" fontId="0" fillId="0" borderId="4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5" borderId="0" applyAlignment="1" pivotButton="0" quotePrefix="0" xfId="0">
      <alignment wrapText="1"/>
    </xf>
    <xf numFmtId="0" fontId="3" fillId="8" borderId="0" applyAlignment="1" pivotButton="0" quotePrefix="0" xfId="0">
      <alignment horizontal="right"/>
    </xf>
    <xf numFmtId="0" fontId="0" fillId="8" borderId="0" applyAlignment="1" pivotButton="0" quotePrefix="0" xfId="0">
      <alignment horizontal="left"/>
    </xf>
    <xf numFmtId="0" fontId="6" fillId="8" borderId="0" applyAlignment="1" pivotButton="0" quotePrefix="0" xfId="0">
      <alignment horizontal="right"/>
    </xf>
    <xf numFmtId="0" fontId="1" fillId="2" borderId="0" applyAlignment="1" pivotButton="0" quotePrefix="0" xfId="0">
      <alignment wrapText="1"/>
    </xf>
    <xf numFmtId="0" fontId="7" fillId="8" borderId="0" applyAlignment="1" pivotButton="0" quotePrefix="0" xfId="0">
      <alignment horizontal="left"/>
    </xf>
    <xf numFmtId="0" fontId="8" fillId="8" borderId="0" applyAlignment="1" pivotButton="0" quotePrefix="0" xfId="0">
      <alignment horizontal="left"/>
    </xf>
    <xf numFmtId="0" fontId="9" fillId="8" borderId="0" applyAlignment="1" pivotButton="0" quotePrefix="0" xfId="0">
      <alignment horizontal="left"/>
    </xf>
    <xf numFmtId="10" fontId="3" fillId="8" borderId="0" applyAlignment="1" pivotButton="0" quotePrefix="0" xfId="0">
      <alignment horizontal="center"/>
    </xf>
    <xf numFmtId="0" fontId="3" fillId="8" borderId="0" applyAlignment="1" pivotButton="0" quotePrefix="0" xfId="0">
      <alignment horizontal="right" vertical="center"/>
    </xf>
    <xf numFmtId="10" fontId="3" fillId="8" borderId="0" applyAlignment="1" pivotButton="0" quotePrefix="0" xfId="0">
      <alignment horizontal="center" vertical="center"/>
    </xf>
    <xf numFmtId="3" fontId="0" fillId="8" borderId="0" applyAlignment="1" pivotButton="0" quotePrefix="0" xfId="0">
      <alignment horizontal="center" vertical="center"/>
    </xf>
    <xf numFmtId="164" fontId="10" fillId="8" borderId="0" pivotButton="0" quotePrefix="0" xfId="0"/>
    <xf numFmtId="0" fontId="0" fillId="8" borderId="0" applyAlignment="1" pivotButton="0" quotePrefix="0" xfId="0">
      <alignment horizontal="center"/>
    </xf>
    <xf numFmtId="0" fontId="11" fillId="8" borderId="9" applyAlignment="1" pivotButton="0" quotePrefix="0" xfId="0">
      <alignment horizontal="center" vertical="center"/>
    </xf>
    <xf numFmtId="0" fontId="12" fillId="8" borderId="0" pivotButton="0" quotePrefix="0" xfId="0"/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vertical="top"/>
    </xf>
    <xf numFmtId="0" fontId="0" fillId="0" borderId="0" applyAlignment="1" pivotButton="0" quotePrefix="0" xfId="0">
      <alignment vertical="top" wrapText="1"/>
    </xf>
    <xf numFmtId="0" fontId="0" fillId="0" borderId="16" applyAlignment="1" pivotButton="0" quotePrefix="0" xfId="0">
      <alignment vertical="top"/>
    </xf>
    <xf numFmtId="0" fontId="0" fillId="0" borderId="18" applyAlignment="1" pivotButton="0" quotePrefix="0" xfId="0">
      <alignment wrapText="1"/>
    </xf>
    <xf numFmtId="0" fontId="0" fillId="0" borderId="17" applyAlignment="1" pivotButton="0" quotePrefix="0" xfId="0">
      <alignment wrapText="1"/>
    </xf>
    <xf numFmtId="0" fontId="3" fillId="11" borderId="19" applyAlignment="1" pivotButton="0" quotePrefix="0" xfId="0">
      <alignment vertical="top"/>
    </xf>
    <xf numFmtId="0" fontId="3" fillId="11" borderId="19" applyAlignment="1" pivotButton="0" quotePrefix="0" xfId="0">
      <alignment wrapText="1"/>
    </xf>
    <xf numFmtId="0" fontId="0" fillId="0" borderId="10" applyAlignment="1" pivotButton="0" quotePrefix="0" xfId="0">
      <alignment vertical="top"/>
    </xf>
    <xf numFmtId="0" fontId="0" fillId="0" borderId="14" applyAlignment="1" pivotButton="0" quotePrefix="0" xfId="0">
      <alignment wrapText="1"/>
    </xf>
    <xf numFmtId="0" fontId="0" fillId="0" borderId="15" applyAlignment="1" pivotButton="0" quotePrefix="0" xfId="0">
      <alignment wrapText="1"/>
    </xf>
    <xf numFmtId="0" fontId="0" fillId="0" borderId="16" applyAlignment="1" pivotButton="0" quotePrefix="0" xfId="0">
      <alignment vertical="top" wrapText="1"/>
    </xf>
    <xf numFmtId="0" fontId="0" fillId="0" borderId="10" applyAlignment="1" pivotButton="0" quotePrefix="0" xfId="0">
      <alignment vertical="top" wrapText="1"/>
    </xf>
    <xf numFmtId="0" fontId="0" fillId="0" borderId="18" applyAlignment="1" pivotButton="0" quotePrefix="0" xfId="0">
      <alignment vertical="center" wrapText="1"/>
    </xf>
    <xf numFmtId="0" fontId="0" fillId="0" borderId="11" applyAlignment="1" pivotButton="0" quotePrefix="0" xfId="0">
      <alignment vertical="top"/>
    </xf>
    <xf numFmtId="0" fontId="0" fillId="0" borderId="12" applyAlignment="1" pivotButton="0" quotePrefix="0" xfId="0">
      <alignment wrapText="1"/>
    </xf>
    <xf numFmtId="0" fontId="0" fillId="0" borderId="13" applyAlignment="1" pivotButton="0" quotePrefix="0" xfId="0">
      <alignment wrapText="1"/>
    </xf>
    <xf numFmtId="0" fontId="0" fillId="0" borderId="13" applyAlignment="1" pivotButton="0" quotePrefix="0" xfId="0">
      <alignment vertical="center" wrapText="1"/>
    </xf>
    <xf numFmtId="3" fontId="3" fillId="8" borderId="0" applyAlignment="1" pivotButton="0" quotePrefix="0" xfId="0">
      <alignment horizontal="center" vertical="center"/>
    </xf>
    <xf numFmtId="49" fontId="1" fillId="2" borderId="0" applyAlignment="1" pivotButton="0" quotePrefix="0" xfId="0">
      <alignment wrapText="1"/>
    </xf>
    <xf numFmtId="49" fontId="0" fillId="10" borderId="0" applyAlignment="1" pivotButton="0" quotePrefix="0" xfId="0">
      <alignment wrapText="1"/>
    </xf>
    <xf numFmtId="22" fontId="0" fillId="0" borderId="0" pivotButton="0" quotePrefix="0" xfId="0"/>
    <xf numFmtId="165" fontId="0" fillId="0" borderId="0" pivotButton="0" quotePrefix="0" xfId="0"/>
    <xf numFmtId="0" fontId="21" fillId="8" borderId="0" applyAlignment="1" pivotButton="0" quotePrefix="0" xfId="0">
      <alignment horizontal="left"/>
    </xf>
    <xf numFmtId="0" fontId="22" fillId="8" borderId="0" applyAlignment="1" pivotButton="0" quotePrefix="0" xfId="0">
      <alignment horizontal="left"/>
    </xf>
    <xf numFmtId="0" fontId="0" fillId="13" borderId="0" pivotButton="0" quotePrefix="0" xfId="0"/>
    <xf numFmtId="0" fontId="0" fillId="14" borderId="0" pivotButton="0" quotePrefix="0" xfId="0"/>
    <xf numFmtId="0" fontId="0" fillId="15" borderId="0" pivotButton="0" quotePrefix="0" xfId="0"/>
    <xf numFmtId="0" fontId="0" fillId="0" borderId="0" applyAlignment="1" pivotButton="0" quotePrefix="0" xfId="0">
      <alignment vertical="center"/>
    </xf>
    <xf numFmtId="0" fontId="25" fillId="0" borderId="0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27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left" vertical="center" indent="1"/>
    </xf>
    <xf numFmtId="0" fontId="25" fillId="0" borderId="0" applyAlignment="1" pivotButton="0" quotePrefix="0" xfId="0">
      <alignment horizontal="left" vertical="center" indent="1"/>
    </xf>
    <xf numFmtId="0" fontId="29" fillId="0" borderId="0" applyAlignment="1" pivotButton="0" quotePrefix="0" xfId="0">
      <alignment vertical="center"/>
    </xf>
    <xf numFmtId="0" fontId="28" fillId="0" borderId="0" pivotButton="0" quotePrefix="0" xfId="0"/>
    <xf numFmtId="0" fontId="28" fillId="0" borderId="0" applyAlignment="1" pivotButton="0" quotePrefix="0" xfId="0">
      <alignment horizontal="left" vertical="center" indent="1"/>
    </xf>
    <xf numFmtId="0" fontId="31" fillId="0" borderId="0" applyAlignment="1" pivotButton="0" quotePrefix="0" xfId="0">
      <alignment vertical="center"/>
    </xf>
    <xf numFmtId="0" fontId="32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/>
    </xf>
    <xf numFmtId="0" fontId="34" fillId="0" borderId="0" pivotButton="0" quotePrefix="0" xfId="0"/>
    <xf numFmtId="0" fontId="34" fillId="0" borderId="0" applyAlignment="1" pivotButton="0" quotePrefix="0" xfId="0">
      <alignment vertical="center"/>
    </xf>
    <xf numFmtId="0" fontId="35" fillId="0" borderId="0" applyAlignment="1" pivotButton="0" quotePrefix="0" xfId="0">
      <alignment vertical="center"/>
    </xf>
    <xf numFmtId="0" fontId="34" fillId="0" borderId="0" applyAlignment="1" pivotButton="0" quotePrefix="0" xfId="0">
      <alignment horizontal="left" vertical="center" indent="1"/>
    </xf>
    <xf numFmtId="0" fontId="37" fillId="0" borderId="0" applyAlignment="1" pivotButton="0" quotePrefix="0" xfId="0">
      <alignment vertical="center"/>
    </xf>
    <xf numFmtId="0" fontId="38" fillId="0" borderId="0" pivotButton="0" quotePrefix="0" xfId="0"/>
    <xf numFmtId="0" fontId="28" fillId="0" borderId="0" applyAlignment="1" pivotButton="0" quotePrefix="0" xfId="0">
      <alignment vertical="center"/>
    </xf>
    <xf numFmtId="0" fontId="25" fillId="0" borderId="0" pivotButton="0" quotePrefix="0" xfId="0"/>
    <xf numFmtId="0" fontId="3" fillId="8" borderId="0" pivotButton="0" quotePrefix="0" xfId="0"/>
    <xf numFmtId="0" fontId="42" fillId="0" borderId="0" applyAlignment="1" pivotButton="0" quotePrefix="0" xfId="1">
      <alignment vertical="center"/>
    </xf>
    <xf numFmtId="0" fontId="39" fillId="0" borderId="0" applyAlignment="1" pivotButton="0" quotePrefix="0" xfId="0">
      <alignment vertical="center"/>
    </xf>
    <xf numFmtId="0" fontId="14" fillId="0" borderId="0" applyAlignment="1" pivotButton="0" quotePrefix="0" xfId="1">
      <alignment horizontal="left" vertical="center" indent="1"/>
    </xf>
    <xf numFmtId="0" fontId="14" fillId="0" borderId="0" pivotButton="0" quotePrefix="0" xfId="1"/>
    <xf numFmtId="0" fontId="48" fillId="0" borderId="0" applyAlignment="1" pivotButton="0" quotePrefix="0" xfId="0">
      <alignment vertical="center"/>
    </xf>
    <xf numFmtId="0" fontId="20" fillId="0" borderId="0" applyAlignment="1" pivotButton="0" quotePrefix="0" xfId="0">
      <alignment horizontal="left" vertical="center" indent="1"/>
    </xf>
    <xf numFmtId="0" fontId="48" fillId="0" borderId="0" applyAlignment="1" pivotButton="0" quotePrefix="0" xfId="0">
      <alignment horizontal="left" vertical="center" indent="1"/>
    </xf>
    <xf numFmtId="0" fontId="20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left" vertical="center" indent="1"/>
    </xf>
    <xf numFmtId="0" fontId="48" fillId="0" borderId="0" applyAlignment="1" pivotButton="0" quotePrefix="0" xfId="0">
      <alignment horizontal="left" vertical="center" indent="2"/>
    </xf>
    <xf numFmtId="0" fontId="49" fillId="0" borderId="0" applyAlignment="1" pivotButton="0" quotePrefix="0" xfId="0">
      <alignment horizontal="left" vertical="center" indent="1"/>
    </xf>
    <xf numFmtId="0" fontId="0" fillId="0" borderId="20" pivotButton="0" quotePrefix="0" xfId="0"/>
    <xf numFmtId="0" fontId="55" fillId="8" borderId="0" pivotButton="0" quotePrefix="0" xfId="0"/>
    <xf numFmtId="0" fontId="0" fillId="0" borderId="9" pivotButton="0" quotePrefix="0" xfId="0"/>
    <xf numFmtId="0" fontId="0" fillId="0" borderId="1" pivotButton="0" quotePrefix="0" xfId="0"/>
    <xf numFmtId="165" fontId="20" fillId="8" borderId="0" applyAlignment="1" pivotButton="0" quotePrefix="0" xfId="0">
      <alignment horizontal="center" vertical="center"/>
    </xf>
    <xf numFmtId="0" fontId="61" fillId="8" borderId="0" applyAlignment="1" pivotButton="0" quotePrefix="0" xfId="0">
      <alignment horizontal="center" vertical="center"/>
    </xf>
    <xf numFmtId="0" fontId="14" fillId="8" borderId="0" pivotButton="0" quotePrefix="0" xfId="1"/>
    <xf numFmtId="0" fontId="14" fillId="13" borderId="0" pivotButton="0" quotePrefix="0" xfId="1"/>
    <xf numFmtId="0" fontId="14" fillId="14" borderId="0" pivotButton="0" quotePrefix="0" xfId="1"/>
    <xf numFmtId="22" fontId="14" fillId="0" borderId="0" applyAlignment="1" pivotButton="0" quotePrefix="0" xfId="1">
      <alignment horizontal="center"/>
    </xf>
    <xf numFmtId="45" fontId="63" fillId="8" borderId="0" applyAlignment="1" pivotButton="0" quotePrefix="0" xfId="0">
      <alignment horizontal="left"/>
    </xf>
    <xf numFmtId="0" fontId="14" fillId="8" borderId="0" applyAlignment="1" pivotButton="0" quotePrefix="0" xfId="1">
      <alignment horizontal="right"/>
    </xf>
    <xf numFmtId="0" fontId="48" fillId="0" borderId="0" applyAlignment="1" pivotButton="0" quotePrefix="0" xfId="0">
      <alignment horizontal="left" vertical="center" wrapText="1" indent="1"/>
    </xf>
    <xf numFmtId="0" fontId="48" fillId="0" borderId="0" applyAlignment="1" pivotButton="0" quotePrefix="0" xfId="0">
      <alignment horizontal="left" vertical="center" indent="1"/>
    </xf>
    <xf numFmtId="0" fontId="14" fillId="8" borderId="0" applyAlignment="1" pivotButton="0" quotePrefix="0" xfId="1">
      <alignment textRotation="255"/>
    </xf>
    <xf numFmtId="166" fontId="20" fillId="8" borderId="0" applyAlignment="1" pivotButton="0" quotePrefix="0" xfId="0">
      <alignment horizontal="left"/>
    </xf>
    <xf numFmtId="0" fontId="3" fillId="8" borderId="0" applyAlignment="1" pivotButton="0" quotePrefix="1" xfId="0">
      <alignment horizontal="center" vertical="center" wrapText="1"/>
    </xf>
    <xf numFmtId="0" fontId="3" fillId="8" borderId="0" applyAlignment="1" pivotButton="0" quotePrefix="0" xfId="0">
      <alignment horizontal="center" vertical="center"/>
    </xf>
    <xf numFmtId="0" fontId="17" fillId="0" borderId="0" applyAlignment="1" pivotButton="0" quotePrefix="0" xfId="1">
      <alignment horizontal="left" vertical="top" wrapText="1"/>
    </xf>
    <xf numFmtId="0" fontId="15" fillId="0" borderId="0" applyAlignment="1" pivotButton="0" quotePrefix="0" xfId="0">
      <alignment vertical="top" wrapText="1"/>
    </xf>
    <xf numFmtId="0" fontId="15" fillId="0" borderId="0" applyAlignment="1" pivotButton="0" quotePrefix="0" xfId="0">
      <alignment vertical="top"/>
    </xf>
    <xf numFmtId="0" fontId="16" fillId="0" borderId="8" applyAlignment="1" pivotButton="0" quotePrefix="0" xfId="0">
      <alignment vertical="top" wrapText="1"/>
    </xf>
    <xf numFmtId="0" fontId="16" fillId="0" borderId="10" applyAlignment="1" pivotButton="0" quotePrefix="0" xfId="0">
      <alignment vertical="top" wrapText="1"/>
    </xf>
    <xf numFmtId="49" fontId="13" fillId="12" borderId="1" applyAlignment="1" pivotButton="0" quotePrefix="0" xfId="0">
      <alignment horizontal="left" vertical="top" wrapText="1"/>
    </xf>
    <xf numFmtId="49" fontId="13" fillId="0" borderId="1" applyAlignment="1" pivotButton="0" quotePrefix="0" xfId="0">
      <alignment horizontal="left" vertical="top" wrapText="1"/>
    </xf>
    <xf numFmtId="0" fontId="14" fillId="8" borderId="0" applyAlignment="1" pivotButton="0" quotePrefix="0" xfId="1">
      <alignment vertical="center" textRotation="255"/>
    </xf>
    <xf numFmtId="0" fontId="0" fillId="0" borderId="14" pivotButton="0" quotePrefix="0" xfId="0"/>
    <xf numFmtId="0" fontId="0" fillId="0" borderId="15" pivotButton="0" quotePrefix="0" xfId="0"/>
    <xf numFmtId="0" fontId="0" fillId="0" borderId="17" pivotButton="0" quotePrefix="0" xfId="0"/>
    <xf numFmtId="0" fontId="0" fillId="0" borderId="18" pivotButton="0" quotePrefix="0" xfId="0"/>
  </cellXfs>
  <cellStyles count="2">
    <cellStyle name="Normal" xfId="0" builtinId="0"/>
    <cellStyle name="Hipervínculo" xfId="1" builtinId="8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omments/comment1.xml><?xml version="1.0" encoding="utf-8"?>
<comments xmlns="http://schemas.openxmlformats.org/spreadsheetml/2006/main">
  <authors>
    <author>tc={58A7F3AF-E1C3-481A-AA76-43D88A20F4C7}</author>
    <author>tc={8A6F87B9-B332-417A-8B35-6CC968CED0BA}</author>
    <author>tc={A411FCD0-31CD-4C03-A070-ABE9E6012A5F}</author>
    <author>tc={416774ED-B1C2-49D7-881C-DDD9FAFE185A}</author>
    <author>tc={451776EF-265C-46A9-961B-9A0A884F72D5}</author>
    <author>tc={87CDC586-52B1-49D9-806C-FA34CB7F0800}</author>
    <author>tc={FB8EE3F8-B321-4C72-87F3-DC7304BC4C65}</author>
    <author>tc={92A08EDB-8288-4942-A377-98865ABA8F08}</author>
    <author>tc={5170B1D9-1751-4909-B2AD-7FFDD6EB9DC1}</author>
    <author>tc={08506CAC-F00C-47D4-99E4-DA5A413C181E}</author>
    <author>tc={8A8DBDC4-C05B-4EAE-8592-577AC5E02145}</author>
    <author>tc={52A56CA0-42DC-4D2C-B271-FEAFB459A95A}</author>
    <author>tc={B5BBB2D6-C314-4B5E-ACC4-4A343F39E092}</author>
    <author>tc={7B366D0F-4F8A-4B6E-B45F-FEC7FBD8ED65}</author>
    <author>tc={0E815CDF-06B0-480B-8BD6-658AC0F1AD72}</author>
    <author>tc={C478B08C-CDC4-40BE-B141-CC9E309DE9FD}</author>
    <author>tc={81F27560-4686-402E-B5DA-69D4EE198210}</author>
    <author>tc={6300D149-E69F-4D1A-B0CB-2C3F4C1FE2D9}</author>
    <author>tc={FF5C8A3C-937A-456C-8EA7-451A855815B5}</author>
    <author>tc={EFF4A283-F644-4DFD-A94B-DE574452C10F}</author>
  </authors>
  <commentList>
    <comment ref="A1" authorId="0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nombre de las columnas de la base de datos son opcionales, se pueden cambiar según la necesidad del estudiante.
Número de la Unidad o tema</t>
      </text>
    </comment>
    <comment ref="B1" authorId="1" shapeId="0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nombre de las columnas de la base de datos son opcionales, se pueden cambiar según la necesidad del estudiante.
Ejemplos de uso:
 - Nombre de la unidad o tema
 - URL de internet donde se ha sacado la pregunta.
</t>
      </text>
    </comment>
    <comment ref="C1" authorId="2" shapeId="0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nombre de las columnas de la base de datos son opcionales, se pueden cambiar según la necesidad del estudiante.
Ejemplos de uso:
- Tipo de pregunta
- Subtema
- Origen de la pregunta
</t>
      </text>
    </comment>
    <comment ref="D1" authorId="3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Texto de la pregunta.</t>
      </text>
    </comment>
    <comment ref="E1" authorId="4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A</t>
      </text>
    </comment>
    <comment ref="F1" authorId="5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B</t>
      </text>
    </comment>
    <comment ref="G1" authorId="6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C</t>
      </text>
    </comment>
    <comment ref="H1" authorId="7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D</t>
      </text>
    </comment>
    <comment ref="I1" authorId="8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A</t>
      </text>
    </comment>
    <comment ref="J1" authorId="9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B</t>
      </text>
    </comment>
    <comment ref="K1" authorId="10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C</t>
      </text>
    </comment>
    <comment ref="L1" authorId="11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D</t>
      </text>
    </comment>
    <comment ref="M1" authorId="12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Respuesta correcta</t>
      </text>
    </comment>
    <comment ref="N1" authorId="13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0 - La pregunta no se ha contestado aún en el examen.
1 - La pregunta ya ha sido respondida en el examen (aunque fuera respondida de forma incorrecta).</t>
      </text>
    </comment>
    <comment ref="O1" authorId="14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Si la pregunta ya se ha visto en el examen:
0 - La respuesta fue incorrecta.
1 - La respuesta fue correcta.</t>
      </text>
    </comment>
    <comment ref="P1" authorId="15" shapeId="0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0 - La pregunta no esta marcada para revisión.
1 - La pregunta ya ha sido marcada para revisión.
</t>
      </text>
    </comment>
    <comment ref="Q1" authorId="16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Información adicional que se quiere mostrar con la respuesta.
A mi me gusta transcribir aquí el texto del manual de referencia donde se puede encontrar la respuesta correcta.
También cualquier otra cuestión que aclare la respuesta o que deba estudiarse mas detenidamente.</t>
      </text>
    </comment>
    <comment ref="R1" authorId="17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Un campo adicional para filtrar. En mi caso, puedo haber sacado preguntas de distintos sitios, foros, libros, webs. En todo caso, si la respuesta es dudosa, puedo poner aquí una marca y filtrar para que no aparezca en los exámenes.</t>
      </text>
    </comment>
    <comment ref="S1" authorId="18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Estadístico: Número de veces que he contestado a esta pregunta de forma correcta.</t>
      </text>
    </comment>
    <comment ref="T1" authorId="19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Estadístico: Número de veces que he contestado a esta pregunta de forma incorrecta. 
Puede ayudar a encontrar áreas que necesitan repasarse más profundamente.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Sesion!B4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/Relationships>
</file>

<file path=xl/drawings/_rels/drawing2.xml.rels><Relationships xmlns="http://schemas.openxmlformats.org/package/2006/relationships"><Relationship Type="http://schemas.openxmlformats.org/officeDocument/2006/relationships/image" Target="/xl/media/image3.png" Id="rId1" /><Relationship Type="http://schemas.openxmlformats.org/officeDocument/2006/relationships/image" Target="/xl/media/image4.png" Id="rId2" 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15</col>
      <colOff>434347</colOff>
      <row>0</row>
      <rowOff>115342</rowOff>
    </from>
    <to>
      <col>17</col>
      <colOff>439883</colOff>
      <row>2</row>
      <rowOff>70219</rowOff>
    </to>
    <pic>
      <nvPicPr>
        <cNvPr id="2059" name="Picture 11" descr="Data Science Lab | CETINIA, URJC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 rot="1982077">
          <a:off x="11567167" y="115342"/>
          <a:ext cx="638003" cy="724497"/>
        </a:xfrm>
        <a:prstGeom prst="rect">
          <avLst/>
        </a:prstGeom>
        <a:noFill/>
        <a:ln>
          <a:prstDash val="solid"/>
        </a:ln>
      </spPr>
    </pic>
    <clientData/>
  </twoCellAnchor>
  <twoCellAnchor editAs="oneCell">
    <from>
      <col>4</col>
      <colOff>15240</colOff>
      <row>1</row>
      <rowOff>83820</rowOff>
    </from>
    <to>
      <col>7</col>
      <colOff>760096</colOff>
      <row>8</row>
      <rowOff>100552</rowOff>
    </to>
    <pic>
      <nvPicPr>
        <cNvPr id="8" name="Imagen 7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2621280" y="670560"/>
          <a:ext cx="4149091" cy="1296892"/>
        </a:xfrm>
        <a:prstGeom prst="rect">
          <avLst/>
        </a:prstGeom>
        <a:ln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104775</colOff>
      <row>1</row>
      <rowOff>104775</rowOff>
    </from>
    <to>
      <col>6</col>
      <colOff>576358</colOff>
      <row>15</row>
      <rowOff>38100</rowOff>
    </to>
    <pic>
      <nvPicPr>
        <cNvPr id="5" name="Imagen 4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04775" y="295275"/>
          <a:ext cx="5043583" cy="260032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7</col>
      <colOff>99060</colOff>
      <row>1</row>
      <rowOff>106680</rowOff>
    </from>
    <to>
      <col>12</col>
      <colOff>210878</colOff>
      <row>13</row>
      <rowOff>106480</rowOff>
    </to>
    <pic>
      <nvPicPr>
        <cNvPr id="2" name="Imagen 1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5646420" y="289560"/>
          <a:ext cx="4074218" cy="2194360"/>
        </a:xfrm>
        <a:prstGeom prst="rect">
          <avLst/>
        </a:prstGeom>
        <a:ln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hyperlink" Target="https://paypal.me/atmarquez" TargetMode="External" Id="rId1" /><Relationship Type="http://schemas.openxmlformats.org/officeDocument/2006/relationships/drawing" Target="/xl/drawings/drawing1.xml" Id="rId2" /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9.xml.rels><Relationships xmlns="http://schemas.openxmlformats.org/package/2006/relationships"><Relationship Type="http://schemas.openxmlformats.org/officeDocument/2006/relationships/hyperlink" Target="mailto:atmarquez@gmail.com" TargetMode="External" Id="rId1" /><Relationship Type="http://schemas.openxmlformats.org/officeDocument/2006/relationships/hyperlink" Target="https://paypal.me/atmarquez" TargetMode="External" Id="rId2" /><Relationship Type="http://schemas.openxmlformats.org/officeDocument/2006/relationships/hyperlink" Target="https://atmarquez.github.io/exam-excel/" TargetMode="External" Id="rId3" /><Relationship Type="http://schemas.openxmlformats.org/officeDocument/2006/relationships/hyperlink" Target="https://github.com/atmarquez/exam-excel" TargetMode="External" Id="rId4" /><Relationship Type="http://schemas.openxmlformats.org/officeDocument/2006/relationships/hyperlink" Target="https://github.com/atmarquez/exam-excel/issues" TargetMode="External" Id="rId5" /><Relationship Type="http://schemas.openxmlformats.org/officeDocument/2006/relationships/hyperlink" Target="https://github.com/atmarquez/exam-excel/wiki" TargetMode="External" Id="rId6" /><Relationship Type="http://schemas.openxmlformats.org/officeDocument/2006/relationships/hyperlink" Target="https://www.gnu.org/licenses/gpl-3.0.html" TargetMode="External" Id="rId7" /></Relationships>
</file>

<file path=xl/worksheets/sheet1.xml><?xml version="1.0" encoding="utf-8"?>
<worksheet xmlns="http://schemas.openxmlformats.org/spreadsheetml/2006/main">
  <sheetPr codeName="Hoja5">
    <outlinePr summaryBelow="1" summaryRight="1"/>
    <pageSetUpPr/>
  </sheetPr>
  <dimension ref="A1:A231"/>
  <sheetViews>
    <sheetView workbookViewId="0">
      <selection activeCell="A11" sqref="A11"/>
    </sheetView>
  </sheetViews>
  <sheetFormatPr baseColWidth="10" defaultRowHeight="14.4"/>
  <sheetData>
    <row r="1" ht="34.8" customHeight="1">
      <c r="A1" s="71" t="inlineStr">
        <is>
          <t>📘 MANUAL DE USUARIO</t>
        </is>
      </c>
    </row>
    <row r="2" ht="27" customHeight="1">
      <c r="A2" s="72" t="inlineStr">
        <is>
          <t>Sistema de Exámenes en Excel</t>
        </is>
      </c>
    </row>
    <row r="3" ht="15" customHeight="1">
      <c r="A3" s="73" t="inlineStr">
        <is>
          <t>Autor: Naidel</t>
        </is>
      </c>
    </row>
    <row r="4">
      <c r="A4" s="74" t="n"/>
    </row>
    <row r="5">
      <c r="A5" s="75" t="n"/>
    </row>
    <row r="6" ht="27" customHeight="1">
      <c r="A6" s="72" t="inlineStr">
        <is>
          <t>1️⃣ Descripción general</t>
        </is>
      </c>
    </row>
    <row r="7">
      <c r="A7" s="75" t="n"/>
    </row>
    <row r="8">
      <c r="A8" s="87" t="inlineStr">
        <is>
          <t>Este archivo Excel es un sistema interactivo de entrenamiento para exámenes, diseñado para:</t>
        </is>
      </c>
    </row>
    <row r="9">
      <c r="A9" s="88" t="n"/>
    </row>
    <row r="10">
      <c r="A10" s="107" t="inlineStr">
        <is>
          <t>Practicar preguntas tipo test</t>
        </is>
      </c>
    </row>
    <row r="11">
      <c r="A11" s="107" t="inlineStr">
        <is>
          <t>Simular exámenes reales</t>
        </is>
      </c>
    </row>
    <row r="12">
      <c r="A12" s="107" t="inlineStr">
        <is>
          <t>Registrar aciertos y fallos</t>
        </is>
      </c>
    </row>
    <row r="13">
      <c r="A13" s="107" t="inlineStr">
        <is>
          <t>Facilitar el estudio posterior</t>
        </is>
      </c>
    </row>
    <row r="14">
      <c r="A14" s="90" t="n"/>
    </row>
    <row r="15">
      <c r="A15" s="87" t="inlineStr">
        <is>
          <t>El sistema funciona íntegramente en Excel mediante macros VBA, y está pensado para ser configurable, reutilizable y ampliable.</t>
        </is>
      </c>
    </row>
    <row r="16">
      <c r="A16" s="75" t="n"/>
    </row>
    <row r="17">
      <c r="A17" s="74" t="n"/>
    </row>
    <row r="18">
      <c r="A18" s="75" t="n"/>
    </row>
    <row r="19" ht="27" customHeight="1">
      <c r="A19" s="72" t="inlineStr">
        <is>
          <t>2️⃣ Estructura del archivo</t>
        </is>
      </c>
    </row>
    <row r="20">
      <c r="A20" s="75" t="n"/>
    </row>
    <row r="21">
      <c r="A21" s="87" t="inlineStr">
        <is>
          <t>El libro está organizado en varias hojas, cada una con una función concreta:</t>
        </is>
      </c>
    </row>
    <row r="22">
      <c r="A22" s="75" t="n"/>
    </row>
    <row r="23" ht="20.4" customHeight="1">
      <c r="A23" s="78" t="inlineStr">
        <is>
          <t>📄 Principal</t>
        </is>
      </c>
    </row>
    <row r="24">
      <c r="A24" s="75" t="n"/>
    </row>
    <row r="25">
      <c r="A25" s="87" t="inlineStr">
        <is>
          <t>Pantalla inicial del sistema. Desde aquí se puede:</t>
        </is>
      </c>
    </row>
    <row r="26">
      <c r="A26" s="88" t="n"/>
    </row>
    <row r="27">
      <c r="A27" s="107" t="inlineStr">
        <is>
          <t>Iniciar una nueva sesión</t>
        </is>
      </c>
    </row>
    <row r="28">
      <c r="A28" s="107" t="inlineStr">
        <is>
          <t>Continuar una sesión anterior</t>
        </is>
      </c>
    </row>
    <row r="29">
      <c r="A29" s="107" t="inlineStr">
        <is>
          <t>Resetear estadisticas de la base de datos</t>
        </is>
      </c>
    </row>
    <row r="30">
      <c r="A30" s="74" t="n"/>
    </row>
    <row r="31">
      <c r="A31" s="75" t="n"/>
    </row>
    <row r="32" ht="20.4" customHeight="1">
      <c r="A32" s="78" t="inlineStr">
        <is>
          <t>📄 Pregunta</t>
        </is>
      </c>
    </row>
    <row r="33">
      <c r="A33" s="75" t="n"/>
    </row>
    <row r="34">
      <c r="A34" s="87" t="inlineStr">
        <is>
          <t>Pantalla principal de examen. Muestra:</t>
        </is>
      </c>
    </row>
    <row r="35">
      <c r="A35" s="88" t="n"/>
    </row>
    <row r="36">
      <c r="A36" s="107" t="inlineStr">
        <is>
          <t>Enunciado de la pregunta</t>
        </is>
      </c>
    </row>
    <row r="37">
      <c r="A37" s="107" t="inlineStr">
        <is>
          <t>Respuestas posibles</t>
        </is>
      </c>
    </row>
    <row r="38">
      <c r="A38" s="107" t="inlineStr">
        <is>
          <t>Indicadores de estado</t>
        </is>
      </c>
    </row>
    <row r="39">
      <c r="A39" s="107" t="inlineStr">
        <is>
          <t>Estadísticas de la pregunta actual</t>
        </is>
      </c>
    </row>
    <row r="40">
      <c r="A40" s="90" t="n"/>
    </row>
    <row r="41">
      <c r="A41" s="87" t="inlineStr">
        <is>
          <t>✅ La respuesta se selecciona haciendo doble clic sobre la opción deseada.</t>
        </is>
      </c>
    </row>
    <row r="42">
      <c r="A42" s="75" t="n"/>
    </row>
    <row r="43">
      <c r="A43" s="74" t="n"/>
    </row>
    <row r="44">
      <c r="A44" s="75" t="n"/>
    </row>
    <row r="45" ht="20.4" customHeight="1">
      <c r="A45" s="78" t="inlineStr">
        <is>
          <t>📄 BD (Base de Datos)</t>
        </is>
      </c>
    </row>
    <row r="46">
      <c r="A46" s="75" t="n"/>
    </row>
    <row r="47">
      <c r="A47" s="87" t="inlineStr">
        <is>
          <t>Contiene todas las preguntas del examen.</t>
        </is>
      </c>
    </row>
    <row r="48">
      <c r="A48" s="90" t="n"/>
    </row>
    <row r="49">
      <c r="A49" s="87" t="inlineStr">
        <is>
          <t>Incluye:</t>
        </is>
      </c>
    </row>
    <row r="50">
      <c r="A50" s="88" t="n"/>
    </row>
    <row r="51">
      <c r="A51" s="107" t="inlineStr">
        <is>
          <t>Enunciado</t>
        </is>
      </c>
    </row>
    <row r="52">
      <c r="A52" s="107" t="inlineStr">
        <is>
          <t>Respuestas A/B/C/D</t>
        </is>
      </c>
    </row>
    <row r="53">
      <c r="A53" s="107" t="inlineStr">
        <is>
          <t>Respuesta correcta</t>
        </is>
      </c>
    </row>
    <row r="54">
      <c r="A54" s="107" t="inlineStr">
        <is>
          <t>Retroalimentación</t>
        </is>
      </c>
    </row>
    <row r="55">
      <c r="A55" s="107" t="inlineStr">
        <is>
          <t>Estadísticas por pregunta</t>
        </is>
      </c>
    </row>
    <row r="56">
      <c r="A56" s="90" t="n"/>
    </row>
    <row r="57">
      <c r="A57" s="87" t="inlineStr">
        <is>
          <t>⚠️ Esta hoja está pensada para edición y mantenimiento, no para uso en examen.</t>
        </is>
      </c>
    </row>
    <row r="58">
      <c r="A58" s="90" t="n"/>
    </row>
    <row r="59">
      <c r="A59" s="74" t="n"/>
    </row>
    <row r="60">
      <c r="A60" s="75" t="n"/>
    </row>
    <row r="61" ht="20.4" customHeight="1">
      <c r="A61" s="78" t="inlineStr">
        <is>
          <t>📄 Sesion (hoja interna)</t>
        </is>
      </c>
    </row>
    <row r="62">
      <c r="A62" s="75" t="n"/>
    </row>
    <row r="63">
      <c r="A63" s="87" t="inlineStr">
        <is>
          <t>Hoja de uso interno del sistema.</t>
        </is>
      </c>
    </row>
    <row r="64">
      <c r="A64" s="90" t="n"/>
    </row>
    <row r="65">
      <c r="A65" s="87" t="inlineStr">
        <is>
          <t>Almacena:</t>
        </is>
      </c>
    </row>
    <row r="66">
      <c r="A66" s="88" t="n"/>
    </row>
    <row r="67">
      <c r="A67" s="107" t="inlineStr">
        <is>
          <t>Pregunta actual</t>
        </is>
      </c>
    </row>
    <row r="68">
      <c r="A68" s="107" t="inlineStr">
        <is>
          <t>Orden aleatorio de respuestas</t>
        </is>
      </c>
    </row>
    <row r="69">
      <c r="A69" s="107" t="inlineStr">
        <is>
          <t>Última respuesta marcada</t>
        </is>
      </c>
    </row>
    <row r="70">
      <c r="A70" s="107" t="inlineStr">
        <is>
          <t>Estado de revisión</t>
        </is>
      </c>
    </row>
    <row r="71">
      <c r="A71" s="90" t="n"/>
    </row>
    <row r="72">
      <c r="A72" s="87" t="inlineStr">
        <is>
          <t>🔒 Esta hoja puede estar oculta, ya que no requiere interacción directa del usuario.</t>
        </is>
      </c>
    </row>
    <row r="73">
      <c r="A73" s="75" t="n"/>
    </row>
    <row r="74">
      <c r="A74" s="74" t="n"/>
    </row>
    <row r="75">
      <c r="A75" s="75" t="n"/>
    </row>
    <row r="76" ht="20.4" customHeight="1">
      <c r="A76" s="78" t="inlineStr">
        <is>
          <t>📄 Glosario</t>
        </is>
      </c>
    </row>
    <row r="77">
      <c r="A77" s="75" t="n"/>
    </row>
    <row r="78">
      <c r="A78" s="87" t="inlineStr">
        <is>
          <t>Contiene términos técnicos o siglas usadas en las preguntas.</t>
        </is>
      </c>
    </row>
    <row r="79">
      <c r="A79" s="90" t="n"/>
    </row>
    <row r="80">
      <c r="A80" s="87" t="inlineStr">
        <is>
          <t>Cada entrada incluye:</t>
        </is>
      </c>
    </row>
    <row r="81">
      <c r="A81" s="88" t="n"/>
    </row>
    <row r="82">
      <c r="A82" s="107" t="inlineStr">
        <is>
          <t>Concepto</t>
        </is>
      </c>
    </row>
    <row r="83">
      <c r="A83" s="107" t="inlineStr">
        <is>
          <t>Significado</t>
        </is>
      </c>
    </row>
    <row r="84">
      <c r="A84" s="107" t="inlineStr">
        <is>
          <t>Método de cálculo (si aplica)</t>
        </is>
      </c>
    </row>
    <row r="85">
      <c r="A85" s="75" t="n"/>
    </row>
    <row r="86">
      <c r="A86" s="74" t="n"/>
    </row>
    <row r="87">
      <c r="A87" s="75" t="n"/>
    </row>
    <row r="88" ht="20.4" customHeight="1">
      <c r="A88" s="78" t="inlineStr">
        <is>
          <t>📄 Gráficos</t>
        </is>
      </c>
    </row>
    <row r="89">
      <c r="A89" s="75" t="n"/>
    </row>
    <row r="90">
      <c r="A90" s="87" t="inlineStr">
        <is>
          <t>Incluye imágenes, gráficos o figuras referenciadas en las preguntas mediante textos como:</t>
        </is>
      </c>
    </row>
    <row r="91">
      <c r="A91" s="88" t="n"/>
    </row>
    <row r="92">
      <c r="A92" s="91" t="inlineStr">
        <is>
          <t>“VER FIGURA 1”</t>
        </is>
      </c>
    </row>
    <row r="93">
      <c r="A93" s="75" t="n"/>
    </row>
    <row r="94">
      <c r="A94" s="74" t="n"/>
    </row>
    <row r="95">
      <c r="A95" s="75" t="n"/>
    </row>
    <row r="96" ht="27" customHeight="1">
      <c r="A96" s="72" t="inlineStr">
        <is>
          <t>3️⃣ Funcionamiento básico</t>
        </is>
      </c>
    </row>
    <row r="97">
      <c r="A97" s="75" t="n"/>
    </row>
    <row r="98" ht="20.4" customHeight="1">
      <c r="A98" s="78" t="inlineStr">
        <is>
          <t>▶ Iniciar un examen</t>
        </is>
      </c>
    </row>
    <row r="99">
      <c r="A99" s="77" t="n"/>
    </row>
    <row r="100">
      <c r="A100" s="107" t="inlineStr">
        <is>
          <t>1. Ir a la hoja Principal</t>
        </is>
      </c>
    </row>
    <row r="101">
      <c r="A101" s="107" t="inlineStr">
        <is>
          <t>2. Pulsar el botón Comenzar</t>
        </is>
      </c>
    </row>
    <row r="102">
      <c r="A102" s="107" t="inlineStr">
        <is>
          <t>3. Se carga la primera pregunta aleatoria</t>
        </is>
      </c>
    </row>
    <row r="103">
      <c r="A103" s="75" t="n"/>
    </row>
    <row r="104">
      <c r="A104" s="74" t="n"/>
    </row>
    <row r="105">
      <c r="A105" s="75" t="n"/>
    </row>
    <row r="106" ht="20.4" customHeight="1">
      <c r="A106" s="78" t="inlineStr">
        <is>
          <t>✅ Responder una pregunta</t>
        </is>
      </c>
    </row>
    <row r="107">
      <c r="A107" s="77" t="n"/>
    </row>
    <row r="108">
      <c r="A108" s="107" t="inlineStr">
        <is>
          <t>Hacer doble clic sobre la respuesta deseada</t>
        </is>
      </c>
    </row>
    <row r="109">
      <c r="A109" s="107" t="inlineStr">
        <is>
          <t>El sistema:</t>
        </is>
      </c>
    </row>
    <row r="110">
      <c r="A110" s="92" t="inlineStr">
        <is>
          <t>Marca la respuesta en verde o rojo</t>
        </is>
      </c>
    </row>
    <row r="111">
      <c r="A111" s="92" t="inlineStr">
        <is>
          <t>Muestra la retroalimentación</t>
        </is>
      </c>
    </row>
    <row r="112">
      <c r="A112" s="92" t="inlineStr">
        <is>
          <t>Guarda la selección</t>
        </is>
      </c>
    </row>
    <row r="113">
      <c r="A113" s="75" t="n"/>
    </row>
    <row r="114">
      <c r="A114" s="74" t="n"/>
    </row>
    <row r="115">
      <c r="A115" s="75" t="n"/>
    </row>
    <row r="116" ht="20.4" customHeight="1">
      <c r="A116" s="78" t="inlineStr">
        <is>
          <t>⏭ Avanzar a la siguiente pregunta</t>
        </is>
      </c>
    </row>
    <row r="117">
      <c r="A117" s="77" t="n"/>
    </row>
    <row r="118">
      <c r="A118" s="107" t="inlineStr">
        <is>
          <t>Pulsar Siguiente</t>
        </is>
      </c>
    </row>
    <row r="119">
      <c r="A119" s="107" t="inlineStr">
        <is>
          <t>El sistema:</t>
        </is>
      </c>
    </row>
    <row r="120">
      <c r="A120" s="92" t="inlineStr">
        <is>
          <t>Contabiliza la pregunta anterior</t>
        </is>
      </c>
    </row>
    <row r="121">
      <c r="A121" s="92" t="inlineStr">
        <is>
          <t>Selecciona una nueva pregunta</t>
        </is>
      </c>
    </row>
    <row r="122">
      <c r="A122" s="92" t="inlineStr">
        <is>
          <t>Actualiza estadísticas</t>
        </is>
      </c>
    </row>
    <row r="123">
      <c r="A123" s="75" t="n"/>
    </row>
    <row r="124">
      <c r="A124" s="74" t="n"/>
    </row>
    <row r="125">
      <c r="A125" s="75" t="n"/>
    </row>
    <row r="126" ht="20.4" customHeight="1">
      <c r="A126" s="78" t="inlineStr">
        <is>
          <t>🔁 Continuar una sesión</t>
        </is>
      </c>
    </row>
    <row r="127">
      <c r="A127" s="77" t="n"/>
    </row>
    <row r="128">
      <c r="A128" s="107" t="inlineStr">
        <is>
          <t>Desde Principal, pulsar Continuar sesión</t>
        </is>
      </c>
    </row>
    <row r="129">
      <c r="A129" s="107" t="inlineStr">
        <is>
          <t>Se regresa a la última pregunta mostrada</t>
        </is>
      </c>
    </row>
    <row r="130">
      <c r="A130" s="75" t="n"/>
    </row>
    <row r="131">
      <c r="A131" s="74" t="n"/>
    </row>
    <row r="132">
      <c r="A132" s="75" t="n"/>
    </row>
    <row r="133" ht="27" customHeight="1">
      <c r="A133" s="72" t="inlineStr">
        <is>
          <t>4️⃣ Indicadores en pantalla (hoja “Pregunta”)</t>
        </is>
      </c>
    </row>
    <row r="134">
      <c r="A134" s="75" t="n"/>
    </row>
    <row r="135">
      <c r="A135" s="87" t="inlineStr">
        <is>
          <t>En la parte superior y lateral de la hoja se muestran varios indicadores:</t>
        </is>
      </c>
    </row>
    <row r="136">
      <c r="A136" s="88" t="n"/>
    </row>
    <row r="137">
      <c r="A137" s="93" t="inlineStr">
        <is>
          <t>Visto: indica si la pregunta ya ha sido mostrada</t>
        </is>
      </c>
    </row>
    <row r="138">
      <c r="A138" s="93" t="inlineStr">
        <is>
          <t>Fallado: indica si alguna vez se respondió mal</t>
        </is>
      </c>
    </row>
    <row r="139">
      <c r="A139" s="93" t="inlineStr">
        <is>
          <t>Aciertos / Fallos: estadísticas históricas de esa pregunta</t>
        </is>
      </c>
    </row>
    <row r="140">
      <c r="A140" s="93" t="inlineStr">
        <is>
          <t>Total sesión: preguntas respondidas en la sesión actual</t>
        </is>
      </c>
    </row>
    <row r="141">
      <c r="A141" s="93" t="inlineStr">
        <is>
          <t>Porcentaje: aciertos / total de la sesión</t>
        </is>
      </c>
    </row>
    <row r="142">
      <c r="A142" s="75" t="n"/>
    </row>
    <row r="143">
      <c r="A143" s="74" t="n"/>
    </row>
    <row r="144">
      <c r="A144" s="75" t="n"/>
    </row>
    <row r="145" ht="27" customHeight="1">
      <c r="A145" s="72" t="inlineStr">
        <is>
          <t>5️⃣ Revisión y estudio</t>
        </is>
      </c>
    </row>
    <row r="146">
      <c r="A146" s="75" t="n"/>
    </row>
    <row r="147">
      <c r="A147" s="87" t="inlineStr">
        <is>
          <t>Algunas preguntas pueden marcarse para revisión.</t>
        </is>
      </c>
    </row>
    <row r="148">
      <c r="A148" s="88" t="n"/>
    </row>
    <row r="149">
      <c r="A149" s="107" t="inlineStr">
        <is>
          <t>Las preguntas marcadas tienen prioridad en la selección aleatoria</t>
        </is>
      </c>
    </row>
    <row r="150">
      <c r="A150" s="107" t="inlineStr">
        <is>
          <t>Permiten reforzar puntos débiles</t>
        </is>
      </c>
    </row>
    <row r="151">
      <c r="A151" s="107" t="inlineStr">
        <is>
          <t>La información de estudio se muestra en un área específica de la pregunta</t>
        </is>
      </c>
    </row>
    <row r="152">
      <c r="A152" s="75" t="n"/>
    </row>
    <row r="153">
      <c r="A153" s="74" t="n"/>
    </row>
    <row r="154">
      <c r="A154" s="75" t="n"/>
    </row>
    <row r="155" ht="27" customHeight="1">
      <c r="A155" s="72" t="inlineStr">
        <is>
          <t>6️⃣ Navegación avanzada</t>
        </is>
      </c>
    </row>
    <row r="156">
      <c r="A156" s="75" t="n"/>
    </row>
    <row r="157" ht="20.4" customHeight="1">
      <c r="A157" s="78" t="inlineStr">
        <is>
          <t>🔍 Ver pregunta en la Base de Datos</t>
        </is>
      </c>
    </row>
    <row r="158">
      <c r="A158" s="75" t="n"/>
    </row>
    <row r="159">
      <c r="A159" s="87" t="inlineStr">
        <is>
          <t>Desde la hoja Pregunta, se puede abrir directamente la fila correspondiente en BD para:</t>
        </is>
      </c>
    </row>
    <row r="160">
      <c r="A160" s="88" t="n"/>
    </row>
    <row r="161">
      <c r="A161" s="107" t="inlineStr">
        <is>
          <t>Revisar el contenido</t>
        </is>
      </c>
    </row>
    <row r="162">
      <c r="A162" s="107" t="inlineStr">
        <is>
          <t>Editar la pregunta</t>
        </is>
      </c>
    </row>
    <row r="163">
      <c r="A163" s="107" t="inlineStr">
        <is>
          <t>Ajustar retroalimentación</t>
        </is>
      </c>
    </row>
    <row r="164">
      <c r="A164" s="90" t="n"/>
    </row>
    <row r="165">
      <c r="A165" s="74" t="n"/>
    </row>
    <row r="166">
      <c r="A166" s="75" t="n"/>
    </row>
    <row r="167" ht="20.4" customHeight="1">
      <c r="A167" s="78" t="inlineStr">
        <is>
          <t>🔄 Refrescar pregunta</t>
        </is>
      </c>
    </row>
    <row r="168">
      <c r="A168" s="75" t="n"/>
    </row>
    <row r="169">
      <c r="A169" s="87" t="inlineStr">
        <is>
          <t>Si se modifica una pregunta en la BD, el botón Refrescar permite:</t>
        </is>
      </c>
    </row>
    <row r="170">
      <c r="A170" s="88" t="n"/>
    </row>
    <row r="171">
      <c r="A171" s="107" t="inlineStr">
        <is>
          <t>Volver a cargar la pregunta actual</t>
        </is>
      </c>
    </row>
    <row r="172">
      <c r="A172" s="107" t="inlineStr">
        <is>
          <t>Mantener el orden de respuestas</t>
        </is>
      </c>
    </row>
    <row r="173">
      <c r="A173" s="107" t="inlineStr">
        <is>
          <t>No alterar estadísticas</t>
        </is>
      </c>
    </row>
    <row r="174">
      <c r="A174" s="75" t="n"/>
    </row>
    <row r="175">
      <c r="A175" s="74" t="n"/>
    </row>
    <row r="176">
      <c r="A176" s="75" t="n"/>
    </row>
    <row r="177" ht="27" customHeight="1">
      <c r="A177" s="72" t="inlineStr">
        <is>
          <t>7️⃣ Aleatoriedad del sistema</t>
        </is>
      </c>
    </row>
    <row r="178">
      <c r="A178" s="75" t="n"/>
    </row>
    <row r="179">
      <c r="A179" s="87" t="inlineStr">
        <is>
          <t>El sistema incluye varias capas de aleatoriedad:</t>
        </is>
      </c>
    </row>
    <row r="180">
      <c r="A180" s="88" t="n"/>
    </row>
    <row r="181">
      <c r="A181" s="107" t="inlineStr">
        <is>
          <t>Selección aleatoria de preguntas</t>
        </is>
      </c>
    </row>
    <row r="182">
      <c r="A182" s="107" t="inlineStr">
        <is>
          <t>Reordenación aleatoria de respuestas</t>
        </is>
      </c>
    </row>
    <row r="183">
      <c r="A183" s="107" t="inlineStr">
        <is>
          <t>Prioridad para preguntas marcadas en revisión</t>
        </is>
      </c>
    </row>
    <row r="184">
      <c r="A184" s="107" t="inlineStr">
        <is>
          <t>Respeto de filtros activos desde la hoja Principal</t>
        </is>
      </c>
    </row>
    <row r="185">
      <c r="A185" s="90" t="n"/>
    </row>
    <row r="186">
      <c r="A186" s="87" t="inlineStr">
        <is>
          <t>Esto evita:</t>
        </is>
      </c>
    </row>
    <row r="187">
      <c r="A187" s="88" t="n"/>
    </row>
    <row r="188">
      <c r="A188" s="107" t="inlineStr">
        <is>
          <t>Memorizar posiciones</t>
        </is>
      </c>
    </row>
    <row r="189">
      <c r="A189" s="107" t="inlineStr">
        <is>
          <t>Sesgos en el orden</t>
        </is>
      </c>
    </row>
    <row r="190">
      <c r="A190" s="107" t="inlineStr">
        <is>
          <t>Repeticiones innecesarias</t>
        </is>
      </c>
    </row>
    <row r="191">
      <c r="A191" s="75" t="n"/>
    </row>
    <row r="192">
      <c r="A192" s="74" t="n"/>
    </row>
    <row r="193">
      <c r="A193" s="75" t="n"/>
    </row>
    <row r="194" ht="27" customHeight="1">
      <c r="A194" s="72" t="inlineStr">
        <is>
          <t>8️⃣ Requisitos técnicos</t>
        </is>
      </c>
    </row>
    <row r="195">
      <c r="A195" s="77" t="n"/>
    </row>
    <row r="196">
      <c r="A196" s="107" t="inlineStr">
        <is>
          <t>Microsoft Excel con macros habilitadas</t>
        </is>
      </c>
    </row>
    <row r="197">
      <c r="A197" s="107" t="inlineStr">
        <is>
          <t>No compatible con Excel Online</t>
        </is>
      </c>
    </row>
    <row r="198">
      <c r="A198" s="107" t="inlineStr">
        <is>
          <t>Recomendado Excel para escritorio</t>
        </is>
      </c>
    </row>
    <row r="199">
      <c r="A199" s="90" t="n"/>
    </row>
    <row r="200">
      <c r="A200" s="87" t="inlineStr">
        <is>
          <t>⚠️ Si las macros están desactivadas, el sistema no funcionará.</t>
        </is>
      </c>
    </row>
    <row r="201">
      <c r="A201" s="75" t="n"/>
    </row>
    <row r="202">
      <c r="A202" s="74" t="n"/>
    </row>
    <row r="203">
      <c r="A203" s="75" t="n"/>
    </row>
    <row r="204" ht="27" customHeight="1">
      <c r="A204" s="72" t="inlineStr">
        <is>
          <t>9️⃣ Uso recomendado</t>
        </is>
      </c>
    </row>
    <row r="205">
      <c r="A205" s="75" t="n"/>
    </row>
    <row r="206">
      <c r="A206" s="87" t="inlineStr">
        <is>
          <t>Este sistema está pensado para:</t>
        </is>
      </c>
    </row>
    <row r="207">
      <c r="A207" s="88" t="n"/>
    </row>
    <row r="208">
      <c r="A208" s="107" t="inlineStr">
        <is>
          <t>Preparación de certificaciones</t>
        </is>
      </c>
    </row>
    <row r="209">
      <c r="A209" s="107" t="inlineStr">
        <is>
          <t>Oposiciones</t>
        </is>
      </c>
    </row>
    <row r="210">
      <c r="A210" s="107" t="inlineStr">
        <is>
          <t>Estudios técnicos</t>
        </is>
      </c>
    </row>
    <row r="211">
      <c r="A211" s="107" t="inlineStr">
        <is>
          <t>Autoevaluación continua</t>
        </is>
      </c>
    </row>
    <row r="212">
      <c r="A212" s="90" t="n"/>
    </row>
    <row r="213">
      <c r="A213" s="87" t="inlineStr">
        <is>
          <t>Puede adaptarse fácilmente añadiendo nuevas preguntas en la hoja BD.</t>
        </is>
      </c>
    </row>
    <row r="214">
      <c r="A214" s="75" t="n"/>
    </row>
    <row r="215">
      <c r="A215" s="74" t="n"/>
    </row>
    <row r="216">
      <c r="A216" s="75" t="n"/>
    </row>
    <row r="217" ht="27" customHeight="1">
      <c r="A217" s="72" t="inlineStr">
        <is>
          <t>10️⃣ Nota final</t>
        </is>
      </c>
    </row>
    <row r="218">
      <c r="A218" s="75" t="n"/>
    </row>
    <row r="219">
      <c r="A219" s="87" t="inlineStr">
        <is>
          <t>Este archivo puede:</t>
        </is>
      </c>
    </row>
    <row r="220">
      <c r="A220" s="88" t="n"/>
    </row>
    <row r="221">
      <c r="A221" s="107" t="inlineStr">
        <is>
          <t>Compartirse</t>
        </is>
      </c>
    </row>
    <row r="222">
      <c r="A222" s="107" t="inlineStr">
        <is>
          <t>Modificarse</t>
        </is>
      </c>
    </row>
    <row r="223">
      <c r="A223" s="107" t="inlineStr">
        <is>
          <t>Ampliarse</t>
        </is>
      </c>
    </row>
    <row r="224">
      <c r="A224" s="90" t="n"/>
    </row>
    <row r="225">
      <c r="A225" s="87" t="inlineStr">
        <is>
          <t>Siempre respetando:</t>
        </is>
      </c>
    </row>
    <row r="226">
      <c r="A226" s="88" t="n"/>
    </row>
    <row r="227">
      <c r="A227" s="107" t="inlineStr">
        <is>
          <t>La estructura de hojas</t>
        </is>
      </c>
    </row>
    <row r="228">
      <c r="A228" s="107" t="inlineStr">
        <is>
          <t>Los encabezados de la BD</t>
        </is>
      </c>
    </row>
    <row r="229">
      <c r="A229" s="107" t="inlineStr">
        <is>
          <t>El funcionamiento interno de la sesión</t>
        </is>
      </c>
    </row>
    <row r="230">
      <c r="A230" s="75" t="n"/>
    </row>
    <row r="231">
      <c r="A231" s="76" t="inlineStr">
        <is>
          <t>✅ Fin del manual</t>
        </is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g8Cs5aHlIv9mCm9C3G3aHA==" formatRows="1" sort="1" spinCount="100000" hashValue="+6G6oOqxeh8d4YV9v11X80VN2B6yVZQX814vdbpAu9rgpdf0KS89Oc7JXeIG/06n0i0291duaiRAEhrtT8txNg=="/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Hoja4">
    <outlinePr summaryBelow="1" summaryRight="1"/>
    <pageSetUpPr/>
  </sheetPr>
  <dimension ref="A1:BDA20"/>
  <sheetViews>
    <sheetView tabSelected="1" workbookViewId="0">
      <selection activeCell="R22" sqref="R22"/>
    </sheetView>
  </sheetViews>
  <sheetFormatPr baseColWidth="10" defaultRowHeight="14.4"/>
  <cols>
    <col width="11.5546875" customWidth="1" min="1" max="1"/>
    <col width="3.33203125" customWidth="1" min="2" max="2"/>
    <col width="13" bestFit="1" customWidth="1" min="6" max="6"/>
    <col width="24.6640625" customWidth="1" min="7" max="7"/>
    <col width="2.88671875" customWidth="1" min="10" max="11"/>
    <col hidden="1" width="11.5546875" customWidth="1" min="12" max="16"/>
    <col width="2.88671875" customWidth="1" min="17" max="17"/>
  </cols>
  <sheetData>
    <row r="1" ht="46.2" customHeight="1">
      <c r="A1" s="95" t="inlineStr">
        <is>
          <t>Exam-Excel by Naidel</t>
        </is>
      </c>
      <c r="B1" s="6" t="n"/>
      <c r="C1" s="6" t="n"/>
      <c r="D1" s="6" t="n"/>
      <c r="E1" s="6" t="n"/>
      <c r="F1" s="6" t="n"/>
      <c r="G1" s="6" t="n"/>
      <c r="H1" s="6" t="n"/>
      <c r="I1" s="6" t="n"/>
    </row>
    <row r="2">
      <c r="A2" s="30" t="n"/>
      <c r="I2" s="6" t="n"/>
      <c r="K2" s="6" t="n"/>
      <c r="L2" s="99" t="inlineStr">
        <is>
          <t>Ayuda</t>
        </is>
      </c>
      <c r="M2" s="6" t="n"/>
      <c r="N2" s="6" t="n"/>
      <c r="O2" s="6" t="n"/>
      <c r="P2" s="6" t="n"/>
      <c r="Q2" s="6" t="n"/>
      <c r="BA2" s="55">
        <f>NOW()</f>
        <v/>
      </c>
      <c r="BDA2" s="55">
        <f>NOW()</f>
        <v/>
      </c>
    </row>
    <row r="3" ht="14.4" customHeight="1">
      <c r="A3" s="6" t="n"/>
      <c r="I3" s="6" t="n"/>
      <c r="K3" s="108" t="inlineStr">
        <is>
          <t>Ayuda</t>
        </is>
      </c>
      <c r="Q3" s="6" t="n"/>
    </row>
    <row r="4">
      <c r="A4" s="6" t="n"/>
      <c r="I4" s="6" t="n"/>
      <c r="L4" s="106" t="inlineStr">
        <is>
          <t>COMENZAR: Comienza un examen. Los contadores y estadísticas de la página de preguntas se resetean a cero.</t>
        </is>
      </c>
      <c r="Q4" s="6" t="n"/>
    </row>
    <row r="5">
      <c r="A5" s="6" t="n"/>
      <c r="I5" s="6" t="n"/>
      <c r="Q5" s="6" t="n"/>
    </row>
    <row r="6">
      <c r="A6" s="6" t="n"/>
      <c r="I6" s="6" t="n"/>
      <c r="Q6" s="6" t="n"/>
    </row>
    <row r="7">
      <c r="A7" s="6" t="n"/>
      <c r="I7" s="6" t="n"/>
      <c r="L7" s="107" t="inlineStr">
        <is>
          <t>Continuar la sesión: Continua el examen por donde lo dejaste.</t>
        </is>
      </c>
      <c r="Q7" s="6" t="n"/>
    </row>
    <row r="8">
      <c r="A8" s="6" t="n"/>
      <c r="I8" s="6" t="n"/>
      <c r="K8" s="6" t="n"/>
      <c r="Q8" s="6" t="n"/>
    </row>
    <row r="9" ht="15" customHeight="1">
      <c r="A9" s="6" t="n"/>
      <c r="I9" s="6" t="n"/>
      <c r="K9" s="6" t="n"/>
      <c r="L9" s="106" t="inlineStr">
        <is>
          <t>Revisados: Le indica al sistema si debe seleccionar sólo preguntas "no revisadas en este examen" o puede mostrar cualquier pregunta.</t>
        </is>
      </c>
      <c r="Q9" s="6" t="n"/>
    </row>
    <row r="10">
      <c r="A10" s="6" t="n"/>
      <c r="F10" s="6" t="inlineStr">
        <is>
          <t>Revisados:</t>
        </is>
      </c>
      <c r="G10" s="97" t="inlineStr">
        <is>
          <t>Sólo no revisados</t>
        </is>
      </c>
      <c r="I10" s="6" t="n"/>
      <c r="K10" s="6" t="n"/>
      <c r="Q10" s="6" t="n"/>
    </row>
    <row r="11">
      <c r="A11" s="6" t="n"/>
      <c r="I11" s="6" t="n"/>
      <c r="K11" s="6" t="n"/>
      <c r="Q11" s="6" t="n"/>
    </row>
    <row r="12">
      <c r="A12" s="6" t="n"/>
      <c r="F12" s="6" t="inlineStr">
        <is>
          <t>Fallados:</t>
        </is>
      </c>
      <c r="G12" s="97" t="inlineStr">
        <is>
          <t>No incluir los acertados</t>
        </is>
      </c>
      <c r="I12" s="6" t="n"/>
      <c r="K12" s="6" t="n"/>
      <c r="L12" s="106" t="inlineStr">
        <is>
          <t>Fallados: Le indica al sistema si no debe seleccionar preguntas "acertadas anteriomente en este examen" o puede mostrar cualquier pregunta.</t>
        </is>
      </c>
      <c r="Q12" s="6" t="n"/>
    </row>
    <row r="13">
      <c r="A13" s="6" t="n"/>
      <c r="I13" s="6" t="n"/>
      <c r="K13" s="6" t="n"/>
      <c r="Q13" s="6" t="n"/>
    </row>
    <row r="14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K14" s="6" t="n"/>
      <c r="Q14" s="6" t="n"/>
    </row>
    <row r="15">
      <c r="A15" s="82">
        <f>_xlfn.CONCAT("Versión v.",Sesion!B7)</f>
        <v/>
      </c>
      <c r="B15" s="6" t="n"/>
      <c r="C15" s="82">
        <f>'Acerca de'!B19</f>
        <v/>
      </c>
      <c r="D15" s="6" t="n"/>
      <c r="E15" s="6" t="n"/>
      <c r="F15" s="6" t="n"/>
      <c r="G15" s="6" t="n"/>
      <c r="H15" s="6" t="n"/>
      <c r="I15" s="6" t="n"/>
      <c r="K15" s="6" t="n"/>
      <c r="L15" s="6" t="n"/>
      <c r="M15" s="6" t="n"/>
      <c r="N15" s="6" t="n"/>
      <c r="O15" s="6" t="n"/>
      <c r="P15" s="6" t="n"/>
      <c r="Q15" s="6" t="n"/>
    </row>
    <row r="16">
      <c r="A16" s="82">
        <f>'Acerca de'!B24</f>
        <v/>
      </c>
      <c r="B16" s="6" t="n"/>
      <c r="C16" s="6" t="n"/>
      <c r="D16" s="6" t="n"/>
      <c r="E16" s="6" t="n"/>
      <c r="F16" s="6" t="n"/>
      <c r="G16" s="6" t="n"/>
      <c r="H16" s="6" t="n"/>
      <c r="I16" s="6" t="n"/>
    </row>
    <row r="17">
      <c r="A17" s="82">
        <f>'Acerca de'!B28</f>
        <v/>
      </c>
      <c r="B17" s="6" t="n"/>
      <c r="C17" s="6" t="n"/>
      <c r="D17" s="6" t="n"/>
      <c r="E17" s="6" t="n"/>
      <c r="F17" s="6" t="n"/>
      <c r="G17" s="6" t="n"/>
      <c r="H17" s="6" t="n"/>
      <c r="I17" s="6" t="n"/>
    </row>
    <row r="18">
      <c r="A18" s="100" t="inlineStr">
        <is>
          <t>Acerca de…</t>
        </is>
      </c>
      <c r="B18" s="6" t="n"/>
      <c r="C18" s="100" t="inlineStr">
        <is>
          <t>Licencia</t>
        </is>
      </c>
      <c r="D18" s="100" t="inlineStr">
        <is>
          <t>Instrucciones</t>
        </is>
      </c>
      <c r="E18" s="6" t="n"/>
      <c r="F18" s="6" t="n"/>
      <c r="G18" s="105" t="inlineStr">
        <is>
          <t>❤️ Donar con PayPal</t>
        </is>
      </c>
      <c r="H18" s="6" t="n"/>
      <c r="I18" s="6" t="n"/>
    </row>
    <row r="19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</row>
    <row r="20">
      <c r="G20" s="94" t="n"/>
    </row>
  </sheetData>
  <mergeCells count="5">
    <mergeCell ref="L9:P10"/>
    <mergeCell ref="L4:P5"/>
    <mergeCell ref="L12:P13"/>
    <mergeCell ref="L7:P7"/>
    <mergeCell ref="K3:K7"/>
  </mergeCells>
  <hyperlinks>
    <hyperlink ref="K3" location="Principal!K3" display="Ayuda"/>
    <hyperlink ref="A18" location="'Acerca de'!A1" display="Acerca de…"/>
    <hyperlink ref="C18" location="LICENSE!A1" display="Licencia"/>
    <hyperlink ref="D18" location="Instrucciones!A1" display="Instrucciones"/>
    <hyperlink xmlns:r="http://schemas.openxmlformats.org/officeDocument/2006/relationships" ref="G18" display="https://paypal.me/atmarquez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Hoja1">
    <outlinePr summaryBelow="1" summaryRight="1"/>
    <pageSetUpPr/>
  </sheetPr>
  <dimension ref="A1:Z38"/>
  <sheetViews>
    <sheetView zoomScaleNormal="100" workbookViewId="0">
      <selection activeCell="B5" sqref="B5:M5"/>
    </sheetView>
  </sheetViews>
  <sheetFormatPr baseColWidth="10" defaultRowHeight="14.4"/>
  <cols>
    <col width="6.6640625" customWidth="1" min="1" max="1"/>
    <col width="5.44140625" customWidth="1" min="2" max="2"/>
    <col width="7.109375" bestFit="1" customWidth="1" min="3" max="3"/>
    <col width="5" customWidth="1" min="4" max="4"/>
    <col width="17.6640625" customWidth="1" min="5" max="5"/>
    <col width="32" customWidth="1" min="7" max="7"/>
    <col width="6.88671875" customWidth="1" min="8" max="8"/>
    <col width="3.88671875" customWidth="1" min="9" max="9"/>
    <col width="10" customWidth="1" min="10" max="10"/>
    <col width="4.5546875" customWidth="1" min="11" max="11"/>
    <col width="11.5546875" customWidth="1" min="12" max="12"/>
    <col width="11.44140625" customWidth="1" min="13" max="13"/>
    <col width="11.5546875" customWidth="1" min="14" max="14"/>
    <col width="13.33203125" customWidth="1" min="15" max="15"/>
    <col width="9" customWidth="1" min="16" max="16"/>
    <col width="2.88671875" customWidth="1" min="17" max="18"/>
    <col hidden="1" width="11.5546875" customWidth="1" min="19" max="25"/>
    <col width="2.88671875" customWidth="1" min="26" max="26"/>
  </cols>
  <sheetData>
    <row r="1">
      <c r="A1" s="19" t="inlineStr">
        <is>
          <t>TIPO:</t>
        </is>
      </c>
      <c r="B1" s="24" t="inlineStr">
        <is>
          <t>VAR</t>
        </is>
      </c>
      <c r="C1" s="19" t="inlineStr">
        <is>
          <t>PARTE:</t>
        </is>
      </c>
      <c r="D1" s="24" t="inlineStr">
        <is>
          <t>Astro01</t>
        </is>
      </c>
      <c r="E1" s="6" t="n"/>
      <c r="F1" s="19" t="n"/>
      <c r="G1" s="20" t="n"/>
      <c r="H1" s="19" t="inlineStr">
        <is>
          <t>VISTO:</t>
        </is>
      </c>
      <c r="I1" s="23" t="inlineStr">
        <is>
          <t>NO</t>
        </is>
      </c>
      <c r="J1" s="19" t="inlineStr">
        <is>
          <t>FALLADO:</t>
        </is>
      </c>
      <c r="K1" s="23" t="inlineStr">
        <is>
          <t>NO</t>
        </is>
      </c>
      <c r="L1" s="21" t="inlineStr">
        <is>
          <t>Aleatorio:</t>
        </is>
      </c>
      <c r="M1" s="25" t="n">
        <v>2</v>
      </c>
      <c r="N1" s="6" t="n"/>
      <c r="O1" s="6" t="n"/>
      <c r="P1" s="6" t="n"/>
    </row>
    <row r="2" ht="15" customHeight="1" thickBot="1">
      <c r="A2" s="98" t="inlineStr">
        <is>
          <t>⌚</t>
        </is>
      </c>
      <c r="B2" s="109" t="n">
        <v>0</v>
      </c>
      <c r="D2" s="31" t="inlineStr">
        <is>
          <t>⏱️</t>
        </is>
      </c>
      <c r="E2" s="104" t="n">
        <v>0</v>
      </c>
      <c r="F2" s="19" t="n"/>
      <c r="G2" s="19" t="inlineStr">
        <is>
          <t>ESTADISTICAS:</t>
        </is>
      </c>
      <c r="H2" s="19" t="inlineStr">
        <is>
          <t>OK:</t>
        </is>
      </c>
      <c r="I2" s="57" t="n">
        <v>0</v>
      </c>
      <c r="J2" s="19" t="inlineStr">
        <is>
          <t>KO:</t>
        </is>
      </c>
      <c r="K2" s="58" t="n">
        <v>0</v>
      </c>
      <c r="L2" s="21" t="inlineStr">
        <is>
          <t>Tipo:</t>
        </is>
      </c>
      <c r="M2" s="24" t="n">
        <v>0</v>
      </c>
      <c r="N2" s="6" t="n"/>
      <c r="O2" s="6" t="n"/>
      <c r="P2" s="6" t="n"/>
    </row>
    <row r="3" ht="75" customHeight="1" thickBot="1">
      <c r="A3" s="6" t="n"/>
      <c r="B3" s="115" t="inlineStr">
        <is>
          <t>¿Cuál es el planeta con más lunas? VER FIGURA 1</t>
        </is>
      </c>
      <c r="C3" s="120" t="n"/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1" t="n"/>
      <c r="N3" s="32">
        <f>O5+1</f>
        <v/>
      </c>
      <c r="O3" s="6" t="n"/>
      <c r="P3" s="6" t="inlineStr">
        <is>
          <t>                                   </t>
        </is>
      </c>
    </row>
    <row r="4">
      <c r="A4" s="6" t="n"/>
      <c r="B4" s="100" t="inlineStr">
        <is>
          <t>Gráficos</t>
        </is>
      </c>
      <c r="C4" s="6" t="n"/>
      <c r="D4" s="6" t="n"/>
      <c r="E4" s="100" t="inlineStr">
        <is>
          <t>Glosario</t>
        </is>
      </c>
      <c r="F4" s="100" t="inlineStr">
        <is>
          <t>Anotaciones</t>
        </is>
      </c>
      <c r="G4" s="6" t="n"/>
      <c r="H4" s="6" t="n"/>
      <c r="I4" s="6" t="n"/>
      <c r="J4" s="6" t="n"/>
      <c r="K4" s="6" t="n"/>
      <c r="L4" s="6" t="n"/>
      <c r="M4" s="6" t="n"/>
      <c r="N4" s="52">
        <f>P4-P5+P7</f>
        <v/>
      </c>
      <c r="O4" s="26">
        <f>P6/P4</f>
        <v/>
      </c>
      <c r="P4" s="29">
        <f>Sesion!B5</f>
        <v/>
      </c>
      <c r="R4" s="6" t="n"/>
      <c r="S4" s="99" t="inlineStr">
        <is>
          <t>Ayuda</t>
        </is>
      </c>
      <c r="T4" s="6" t="n"/>
      <c r="U4" s="6" t="n"/>
      <c r="V4" s="6" t="n"/>
      <c r="W4" s="6" t="n"/>
      <c r="X4" s="6" t="n"/>
      <c r="Y4" s="6" t="n"/>
      <c r="Z4" s="6" t="n"/>
    </row>
    <row r="5" ht="43.5" customHeight="1">
      <c r="A5" s="10" t="inlineStr">
        <is>
          <t>A</t>
        </is>
      </c>
      <c r="B5" s="117" t="inlineStr">
        <is>
          <t>Urano</t>
        </is>
      </c>
      <c r="C5" s="122" t="n"/>
      <c r="D5" s="122" t="n"/>
      <c r="E5" s="122" t="n"/>
      <c r="F5" s="122" t="n"/>
      <c r="G5" s="122" t="n"/>
      <c r="H5" s="122" t="n"/>
      <c r="I5" s="122" t="n"/>
      <c r="J5" s="122" t="n"/>
      <c r="K5" s="122" t="n"/>
      <c r="L5" s="122" t="n"/>
      <c r="M5" s="123" t="n"/>
      <c r="N5" s="7" t="inlineStr">
        <is>
          <t>Totales:</t>
        </is>
      </c>
      <c r="O5" s="8" t="n">
        <v>0</v>
      </c>
      <c r="P5" s="29">
        <f>SUM(BD!N:N)</f>
        <v/>
      </c>
      <c r="R5" s="119" t="inlineStr">
        <is>
          <t>Ayuda</t>
        </is>
      </c>
      <c r="S5" s="107" t="inlineStr">
        <is>
          <t>A: Responde a la pregunta pulsando sobre el botón A o haciendo doble click en la respuesta.</t>
        </is>
      </c>
      <c r="Z5" s="6" t="n"/>
    </row>
    <row r="6" ht="43.5" customHeight="1">
      <c r="A6" s="10" t="inlineStr">
        <is>
          <t>B</t>
        </is>
      </c>
      <c r="B6" s="117" t="inlineStr">
        <is>
          <t>Júpiter</t>
        </is>
      </c>
      <c r="C6" s="122" t="n"/>
      <c r="D6" s="122" t="n"/>
      <c r="E6" s="122" t="n"/>
      <c r="F6" s="122" t="n"/>
      <c r="G6" s="122" t="n"/>
      <c r="H6" s="122" t="n"/>
      <c r="I6" s="122" t="n"/>
      <c r="J6" s="122" t="n"/>
      <c r="K6" s="122" t="n"/>
      <c r="L6" s="122" t="n"/>
      <c r="M6" s="123" t="n"/>
      <c r="N6" s="7" t="inlineStr">
        <is>
          <t>Correctas:</t>
        </is>
      </c>
      <c r="O6" s="8" t="n">
        <v>0</v>
      </c>
      <c r="P6" s="29">
        <f>SUM(BD!O:O)</f>
        <v/>
      </c>
      <c r="S6" s="107" t="inlineStr">
        <is>
          <t>B: Responde a la pregunta pulsando sobre el botón B o haciendo doble click en la respuesta.</t>
        </is>
      </c>
      <c r="Z6" s="6" t="n"/>
    </row>
    <row r="7" ht="43.5" customHeight="1">
      <c r="A7" s="10" t="inlineStr">
        <is>
          <t>C</t>
        </is>
      </c>
      <c r="B7" s="117" t="inlineStr">
        <is>
          <t>Saturno</t>
        </is>
      </c>
      <c r="C7" s="122" t="n"/>
      <c r="D7" s="122" t="n"/>
      <c r="E7" s="122" t="n"/>
      <c r="F7" s="122" t="n"/>
      <c r="G7" s="122" t="n"/>
      <c r="H7" s="122" t="n"/>
      <c r="I7" s="122" t="n"/>
      <c r="J7" s="122" t="n"/>
      <c r="K7" s="122" t="n"/>
      <c r="L7" s="122" t="n"/>
      <c r="M7" s="123" t="n"/>
      <c r="N7" s="7" t="inlineStr">
        <is>
          <t>Incorrectas:</t>
        </is>
      </c>
      <c r="O7" s="8" t="n">
        <v>0</v>
      </c>
      <c r="P7" s="29">
        <f>P5-P6</f>
        <v/>
      </c>
      <c r="R7" s="6" t="n"/>
      <c r="S7" s="107" t="inlineStr">
        <is>
          <t>C: Responde a la pregunta pulsando sobre el botón C o haciendo doble click en la respuesta.</t>
        </is>
      </c>
      <c r="Z7" s="6" t="n"/>
    </row>
    <row r="8" ht="43.5" customHeight="1">
      <c r="A8" s="10" t="inlineStr">
        <is>
          <t>D</t>
        </is>
      </c>
      <c r="B8" s="117" t="inlineStr">
        <is>
          <t>Marte</t>
        </is>
      </c>
      <c r="C8" s="122" t="n"/>
      <c r="D8" s="122" t="n"/>
      <c r="E8" s="122" t="n"/>
      <c r="F8" s="122" t="n"/>
      <c r="G8" s="122" t="n"/>
      <c r="H8" s="122" t="n"/>
      <c r="I8" s="122" t="n"/>
      <c r="J8" s="122" t="n"/>
      <c r="K8" s="122" t="n"/>
      <c r="L8" s="122" t="n"/>
      <c r="M8" s="123" t="n"/>
      <c r="N8" s="29" t="inlineStr">
        <is>
          <t>Porcentaje:</t>
        </is>
      </c>
      <c r="O8" s="9" t="n">
        <v>0</v>
      </c>
      <c r="P8" s="28">
        <f>IF(SUM(BD!N:N)&lt;&gt;0,SUM(BD!O:O)/SUM(BD!N:N),0)</f>
        <v/>
      </c>
      <c r="R8" s="6" t="n"/>
      <c r="S8" s="107" t="inlineStr">
        <is>
          <t>D: Responde a la pregunta pulsando sobre el botón D o haciendo doble click en la respuesta.</t>
        </is>
      </c>
      <c r="Z8" s="6" t="n"/>
    </row>
    <row r="9">
      <c r="A9" s="6" t="n"/>
      <c r="B9" s="6" t="n"/>
      <c r="C9" s="6" t="n"/>
      <c r="D9" s="6" t="n"/>
      <c r="E9" s="6" t="n"/>
      <c r="F9" s="6" t="n"/>
      <c r="G9" s="33" t="n"/>
      <c r="H9" s="6" t="n"/>
      <c r="I9" s="6" t="n"/>
      <c r="J9" s="6" t="n"/>
      <c r="K9" s="6" t="n"/>
      <c r="L9" s="6" t="n"/>
      <c r="M9" s="6" t="n"/>
      <c r="N9" s="27" t="n"/>
      <c r="O9" s="27" t="n"/>
      <c r="P9" s="31">
        <f>SUM(BD!P:P)</f>
        <v/>
      </c>
      <c r="R9" s="6" t="n"/>
      <c r="S9" s="107" t="inlineStr">
        <is>
          <t>Marcar para revisión: Marca la pregunta para revisión posterior (vuelve a preguntarla).</t>
        </is>
      </c>
      <c r="Z9" s="6" t="n"/>
    </row>
    <row r="10">
      <c r="A10" s="110" t="n"/>
      <c r="B10" s="113" t="n"/>
      <c r="N10" s="6" t="n"/>
      <c r="O10" s="6" t="n"/>
      <c r="P10" s="6" t="n"/>
      <c r="R10" s="6" t="n"/>
      <c r="Z10" s="6" t="n"/>
    </row>
    <row r="11">
      <c r="N11" s="6" t="n"/>
      <c r="O11" s="6" t="n"/>
      <c r="P11" s="6" t="n"/>
      <c r="R11" s="6" t="n"/>
      <c r="S11" s="106" t="inlineStr">
        <is>
          <t>Siguiente &gt;&gt;: Muestra la siguiente pregunta. Contabiliza la respuesta. Si no se ha contestado se considera como respuesta incorrecta. Si el cronometro esta en marcha, el tiempo para la pregunta se resetea a cero.</t>
        </is>
      </c>
      <c r="Z11" s="6" t="n"/>
    </row>
    <row r="12">
      <c r="N12" s="6" t="n"/>
      <c r="O12" s="6" t="n"/>
      <c r="P12" s="6" t="n"/>
      <c r="R12" s="6" t="n"/>
      <c r="Z12" s="6" t="n"/>
    </row>
    <row r="13">
      <c r="N13" s="6" t="n"/>
      <c r="O13" s="6" t="n"/>
      <c r="P13" s="6" t="n"/>
      <c r="R13" s="6" t="n"/>
      <c r="Z13" s="6" t="n"/>
    </row>
    <row r="14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6" t="n"/>
      <c r="K14" s="6" t="n"/>
      <c r="L14" s="6" t="n"/>
      <c r="M14" s="6" t="n"/>
      <c r="N14" s="6" t="n"/>
      <c r="O14" s="6" t="n"/>
      <c r="P14" s="6" t="n"/>
      <c r="R14" s="6" t="n"/>
      <c r="S14" s="106" t="inlineStr">
        <is>
          <t>🗃️ Ver en la B.D.: Muestra la pregunta en la pestaña de BD. Ideal para depurar errores en el texto o añadir anotaciones en las respuestas.</t>
        </is>
      </c>
      <c r="Z14" s="6" t="n"/>
    </row>
    <row r="15" ht="15" customHeight="1">
      <c r="A15" s="6" t="n"/>
      <c r="B15" s="112" t="n"/>
      <c r="P15" s="6" t="n"/>
      <c r="R15" s="6" t="n"/>
      <c r="Z15" s="6" t="n"/>
    </row>
    <row r="16">
      <c r="A16" s="6" t="n"/>
      <c r="P16" s="6" t="n"/>
      <c r="R16" s="6" t="n"/>
      <c r="Z16" s="6" t="n"/>
    </row>
    <row r="17">
      <c r="A17" s="6" t="n"/>
      <c r="P17" s="6" t="n"/>
      <c r="R17" s="6" t="n"/>
      <c r="S17" s="106" t="inlineStr">
        <is>
          <t>🔃: Refresta la pregunta de la pantalla. Ideal cuando hemos modificado algún texto en la pantalla editando directamente la BD.</t>
        </is>
      </c>
      <c r="Z17" s="6" t="n"/>
    </row>
    <row r="18">
      <c r="A18" s="6" t="n"/>
      <c r="P18" s="6" t="n"/>
      <c r="R18" s="6" t="n"/>
      <c r="Z18" s="6" t="n"/>
    </row>
    <row r="19">
      <c r="A19" s="6" t="n"/>
      <c r="P19" s="6" t="n"/>
      <c r="R19" s="6" t="n"/>
      <c r="Z19" s="6" t="n"/>
    </row>
    <row r="20">
      <c r="A20" s="6" t="n"/>
      <c r="P20" s="6" t="n"/>
      <c r="R20" s="6" t="n"/>
      <c r="S20" s="107" t="inlineStr">
        <is>
          <t>▶️: Inicia el temporizador.</t>
        </is>
      </c>
      <c r="Z20" s="6" t="n"/>
    </row>
    <row r="21">
      <c r="A21" s="6" t="n"/>
      <c r="P21" s="6" t="n"/>
      <c r="R21" s="6" t="n"/>
      <c r="Z21" s="6" t="n"/>
    </row>
    <row r="22">
      <c r="A22" s="6" t="n"/>
      <c r="P22" s="6" t="n"/>
      <c r="R22" s="6" t="n"/>
      <c r="S22" s="107" t="inlineStr">
        <is>
          <t>⏸️: Pausa el temporizador.</t>
        </is>
      </c>
      <c r="Z22" s="6" t="n"/>
    </row>
    <row r="23">
      <c r="A23" s="6" t="n"/>
      <c r="P23" s="6" t="n"/>
      <c r="R23" s="6" t="n"/>
      <c r="Z23" s="6" t="n"/>
    </row>
    <row r="24">
      <c r="A24" s="6" t="n"/>
      <c r="P24" s="6" t="n"/>
      <c r="R24" s="6" t="n"/>
      <c r="S24" s="107" t="inlineStr">
        <is>
          <t>🔄: Reinicia el temporizador.</t>
        </is>
      </c>
      <c r="Z24" s="6" t="n"/>
    </row>
    <row r="25">
      <c r="A25" s="6" t="n"/>
      <c r="P25" s="6" t="n"/>
      <c r="R25" s="6" t="n"/>
      <c r="Z25" s="6" t="n"/>
    </row>
    <row r="26">
      <c r="A26" s="6" t="n"/>
      <c r="P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</row>
    <row r="27">
      <c r="A27" s="6" t="n"/>
      <c r="P27" s="6" t="n"/>
    </row>
    <row r="28">
      <c r="A28" s="6" t="n"/>
      <c r="P28" s="6" t="n"/>
    </row>
    <row r="29">
      <c r="A29" s="6" t="n"/>
      <c r="P29" s="6" t="n"/>
    </row>
    <row r="30">
      <c r="A30" s="6" t="n"/>
      <c r="P30" s="6" t="n"/>
    </row>
    <row r="31">
      <c r="A31" s="6" t="n"/>
      <c r="P31" s="6" t="n"/>
    </row>
    <row r="32">
      <c r="A32" s="6" t="n"/>
      <c r="P32" s="6" t="n"/>
    </row>
    <row r="33">
      <c r="A33" s="6" t="n"/>
      <c r="P33" s="6" t="n"/>
    </row>
    <row r="34">
      <c r="A34" s="6" t="n"/>
      <c r="P34" s="6" t="n"/>
    </row>
    <row r="35">
      <c r="A35" s="6" t="n"/>
      <c r="P35" s="6" t="n"/>
    </row>
    <row r="36">
      <c r="A36" s="6" t="n"/>
      <c r="P36" s="6" t="n"/>
    </row>
    <row r="37">
      <c r="A37" s="6" t="n"/>
      <c r="P37" s="6" t="n"/>
    </row>
    <row r="38">
      <c r="A38" s="6" t="n"/>
      <c r="B38" s="6" t="n"/>
      <c r="C38" s="6" t="n"/>
      <c r="D38" s="6" t="n"/>
      <c r="E38" s="6" t="n"/>
      <c r="F38" s="6" t="n"/>
      <c r="G38" s="6" t="n"/>
      <c r="H38" s="6" t="n"/>
      <c r="I38" s="6" t="n"/>
      <c r="J38" s="6" t="n"/>
      <c r="K38" s="6" t="n"/>
      <c r="L38" s="6" t="n"/>
      <c r="M38" s="6" t="n"/>
      <c r="N38" s="6" t="n"/>
      <c r="O38" s="6" t="n"/>
      <c r="P38" s="6" t="n"/>
    </row>
  </sheetData>
  <mergeCells count="13">
    <mergeCell ref="B6:M6"/>
    <mergeCell ref="S11:Y12"/>
    <mergeCell ref="R5:R6"/>
    <mergeCell ref="B2:C2"/>
    <mergeCell ref="B7:M7"/>
    <mergeCell ref="B3:M3"/>
    <mergeCell ref="B5:M5"/>
    <mergeCell ref="S17:Y18"/>
    <mergeCell ref="S14:Y15"/>
    <mergeCell ref="B10:M13"/>
    <mergeCell ref="B8:M8"/>
    <mergeCell ref="B15:O37"/>
    <mergeCell ref="A10:A13"/>
  </mergeCells>
  <hyperlinks>
    <hyperlink ref="B4" location="Gráficos!A1" display="Gráficos"/>
    <hyperlink ref="E4" location="Glosario!A1" display="Glosario"/>
    <hyperlink ref="F4" location="Anotaciones!A1" display="Anotaciones"/>
    <hyperlink ref="R5" location="Pregunta!R5" display="Ayuda"/>
  </hyperlinks>
  <pageMargins left="0.7" right="0.7" top="0.75" bottom="0.75" header="0.3" footer="0.3"/>
  <pageSetup orientation="portrait" paperSize="9" horizontalDpi="200" verticalDpi="2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Hoja2">
    <outlinePr summaryBelow="1" summaryRight="1"/>
    <pageSetUpPr/>
  </sheetPr>
  <dimension ref="A1:T26"/>
  <sheetViews>
    <sheetView zoomScaleNormal="100" workbookViewId="0">
      <selection activeCell="A2" sqref="A2"/>
    </sheetView>
  </sheetViews>
  <sheetFormatPr baseColWidth="10" defaultRowHeight="14.4"/>
  <cols>
    <col width="5.88671875" bestFit="1" customWidth="1" style="1" min="1" max="1"/>
    <col width="16" customWidth="1" style="1" min="2" max="2"/>
    <col width="7.109375" customWidth="1" style="1" min="3" max="3"/>
    <col width="18.6640625" customWidth="1" style="5" min="4" max="4"/>
    <col width="12.6640625" customWidth="1" style="18" min="5" max="8"/>
    <col width="21.109375" customWidth="1" style="2" min="9" max="12"/>
    <col width="5.6640625" customWidth="1" style="3" min="13" max="13"/>
    <col width="4.88671875" customWidth="1" style="11" min="14" max="15"/>
    <col width="4.33203125" customWidth="1" style="11" min="16" max="16"/>
    <col width="11.44140625" customWidth="1" style="54" min="17" max="17"/>
    <col width="5.6640625" customWidth="1" min="19" max="20"/>
  </cols>
  <sheetData>
    <row r="1">
      <c r="A1" s="4" t="inlineStr">
        <is>
          <t>UN</t>
        </is>
      </c>
      <c r="B1" s="4" t="inlineStr">
        <is>
          <t>NOMBRE</t>
        </is>
      </c>
      <c r="C1" s="4" t="inlineStr">
        <is>
          <t>TIPO</t>
        </is>
      </c>
      <c r="D1" s="22" t="inlineStr">
        <is>
          <t>PREGUNTA</t>
        </is>
      </c>
      <c r="E1" s="22" t="inlineStr">
        <is>
          <t>A</t>
        </is>
      </c>
      <c r="F1" s="22" t="inlineStr">
        <is>
          <t>B</t>
        </is>
      </c>
      <c r="G1" s="22" t="inlineStr">
        <is>
          <t>C</t>
        </is>
      </c>
      <c r="H1" s="22" t="inlineStr">
        <is>
          <t>D</t>
        </is>
      </c>
      <c r="I1" s="22" t="inlineStr">
        <is>
          <t>RA</t>
        </is>
      </c>
      <c r="J1" s="22" t="inlineStr">
        <is>
          <t>RB</t>
        </is>
      </c>
      <c r="K1" s="22" t="inlineStr">
        <is>
          <t>RC</t>
        </is>
      </c>
      <c r="L1" s="22" t="inlineStr">
        <is>
          <t>RD</t>
        </is>
      </c>
      <c r="M1" s="4" t="inlineStr">
        <is>
          <t>R</t>
        </is>
      </c>
      <c r="N1" s="4" t="inlineStr">
        <is>
          <t>VIS</t>
        </is>
      </c>
      <c r="O1" s="4" t="inlineStr">
        <is>
          <t>COR</t>
        </is>
      </c>
      <c r="P1" s="4" t="inlineStr">
        <is>
          <t>REV</t>
        </is>
      </c>
      <c r="Q1" s="53" t="inlineStr">
        <is>
          <t>ESTUDIO</t>
        </is>
      </c>
      <c r="R1" s="4" t="inlineStr">
        <is>
          <t>Filtro</t>
        </is>
      </c>
      <c r="S1" s="4" t="inlineStr">
        <is>
          <t>OK</t>
        </is>
      </c>
      <c r="T1" s="4" t="inlineStr">
        <is>
          <t>KO</t>
        </is>
      </c>
    </row>
    <row r="2" ht="51" customHeight="1">
      <c r="A2" s="1" t="n">
        <v>1</v>
      </c>
      <c r="B2" s="1" t="inlineStr">
        <is>
          <t>Astro01</t>
        </is>
      </c>
      <c r="C2" s="1" t="inlineStr">
        <is>
          <t>VAR</t>
        </is>
      </c>
      <c r="D2" s="5" t="inlineStr">
        <is>
          <t>¿Cuál es el planeta con más lunas? VER FIGURA 1</t>
        </is>
      </c>
      <c r="E2" s="18" t="inlineStr">
        <is>
          <t>Marte</t>
        </is>
      </c>
      <c r="F2" s="18" t="inlineStr">
        <is>
          <t>Júpiter</t>
        </is>
      </c>
      <c r="G2" s="18" t="inlineStr">
        <is>
          <t>Saturno</t>
        </is>
      </c>
      <c r="H2" s="18" t="inlineStr">
        <is>
          <t>Urano</t>
        </is>
      </c>
      <c r="I2" s="2" t="inlineStr">
        <is>
          <t>2 lunas</t>
        </is>
      </c>
      <c r="J2" s="2" t="inlineStr">
        <is>
          <t>79 lunas</t>
        </is>
      </c>
      <c r="K2" s="2" t="inlineStr">
        <is>
          <t>Más de 80 lunas</t>
        </is>
      </c>
      <c r="L2" s="2" t="inlineStr">
        <is>
          <t>27 lunas</t>
        </is>
      </c>
      <c r="M2" s="3" t="inlineStr">
        <is>
          <t>C</t>
        </is>
      </c>
      <c r="N2" s="11" t="n">
        <v>1</v>
      </c>
      <c r="O2" s="11" t="n">
        <v>1</v>
      </c>
      <c r="P2" s="11" t="n">
        <v>0</v>
      </c>
      <c r="Q2" s="54" t="inlineStr">
        <is>
          <t>Añade aquí información adicional que requieras para tu autoestudio</t>
        </is>
      </c>
      <c r="R2" s="11" t="n">
        <v>0</v>
      </c>
      <c r="S2" s="11" t="n">
        <v>1</v>
      </c>
      <c r="T2" s="11" t="n">
        <v>0</v>
      </c>
    </row>
    <row r="3" ht="45" customHeight="1">
      <c r="A3" s="1" t="n">
        <v>1</v>
      </c>
      <c r="B3" s="1" t="inlineStr">
        <is>
          <t>Bio01</t>
        </is>
      </c>
      <c r="C3" s="1" t="inlineStr">
        <is>
          <t>VAR</t>
        </is>
      </c>
      <c r="D3" s="5" t="inlineStr">
        <is>
          <t>¿Qué organelo celular produce ATP?</t>
        </is>
      </c>
      <c r="E3" s="18" t="inlineStr">
        <is>
          <t>Núcleo</t>
        </is>
      </c>
      <c r="F3" s="18" t="inlineStr">
        <is>
          <t>Mitocondria</t>
        </is>
      </c>
      <c r="G3" s="18" t="inlineStr">
        <is>
          <t>Ribosoma</t>
        </is>
      </c>
      <c r="H3" s="18" t="inlineStr">
        <is>
          <t>Lisósolo</t>
        </is>
      </c>
      <c r="I3" s="2" t="inlineStr">
        <is>
          <t>Control genético</t>
        </is>
      </c>
      <c r="J3" s="2" t="inlineStr">
        <is>
          <t>Producción de energía</t>
        </is>
      </c>
      <c r="K3" s="2" t="inlineStr">
        <is>
          <t>Síntesis proteica</t>
        </is>
      </c>
      <c r="L3" s="2" t="inlineStr">
        <is>
          <t>Digestión celular</t>
        </is>
      </c>
      <c r="M3" s="3" t="inlineStr">
        <is>
          <t>B</t>
        </is>
      </c>
      <c r="N3" s="11" t="n">
        <v>0</v>
      </c>
      <c r="O3" s="11" t="n">
        <v>0</v>
      </c>
      <c r="P3" s="11" t="n">
        <v>0</v>
      </c>
      <c r="Q3" s="54" t="inlineStr">
        <is>
          <t>Añade aquí información adicional que requieras para tu autoestudio</t>
        </is>
      </c>
      <c r="R3" s="11" t="n">
        <v>0</v>
      </c>
      <c r="S3" s="11" t="n">
        <v>0</v>
      </c>
      <c r="T3" s="11" t="n">
        <v>0</v>
      </c>
    </row>
    <row r="4" ht="100.8" customHeight="1">
      <c r="A4" s="1" t="n">
        <v>1</v>
      </c>
      <c r="B4" s="1" t="inlineStr">
        <is>
          <t>Geo01</t>
        </is>
      </c>
      <c r="C4" s="1" t="inlineStr">
        <is>
          <t>VAR</t>
        </is>
      </c>
      <c r="D4" s="5" t="inlineStr">
        <is>
          <t>¿Cuál es el río más largo del mundo?</t>
        </is>
      </c>
      <c r="E4" s="18" t="inlineStr">
        <is>
          <t>Nilo</t>
        </is>
      </c>
      <c r="F4" s="18" t="inlineStr">
        <is>
          <t>Amazonas</t>
        </is>
      </c>
      <c r="G4" s="18" t="inlineStr">
        <is>
          <t>Yangtsé</t>
        </is>
      </c>
      <c r="H4" s="18" t="inlineStr">
        <is>
          <t>Misisipi</t>
        </is>
      </c>
      <c r="I4" s="2" t="inlineStr">
        <is>
          <t>Tradicionalmente considerado el más largo</t>
        </is>
      </c>
      <c r="J4" s="2" t="inlineStr">
        <is>
          <t>Actualmente el más largo según mediciones recientes</t>
        </is>
      </c>
      <c r="K4" s="2" t="inlineStr">
        <is>
          <t>Río más largo de Asia</t>
        </is>
      </c>
      <c r="L4" s="2" t="inlineStr">
        <is>
          <t>Río largo de EE.UU.</t>
        </is>
      </c>
      <c r="M4" s="3" t="inlineStr">
        <is>
          <t>B</t>
        </is>
      </c>
      <c r="N4" s="11" t="n">
        <v>1</v>
      </c>
      <c r="O4" s="11" t="n">
        <v>1</v>
      </c>
      <c r="P4" s="11" t="n">
        <v>0</v>
      </c>
      <c r="Q4" s="54" t="inlineStr">
        <is>
          <t>Añade aquí información adicional que requieras para tu autoestudio</t>
        </is>
      </c>
      <c r="R4" s="11" t="n">
        <v>0</v>
      </c>
      <c r="S4" s="11" t="n">
        <v>1</v>
      </c>
      <c r="T4" s="11" t="n">
        <v>0</v>
      </c>
    </row>
    <row r="5" ht="100.8" customHeight="1">
      <c r="A5" s="1" t="n">
        <v>1</v>
      </c>
      <c r="B5" s="1" t="inlineStr">
        <is>
          <t>Hist01</t>
        </is>
      </c>
      <c r="C5" s="1" t="inlineStr">
        <is>
          <t>VAR</t>
        </is>
      </c>
      <c r="D5" s="5" t="inlineStr">
        <is>
          <t>¿En qué año comenzó la Segunda Guerra Mundial?</t>
        </is>
      </c>
      <c r="E5" s="18" t="inlineStr">
        <is>
          <t>1914</t>
        </is>
      </c>
      <c r="F5" s="18" t="inlineStr">
        <is>
          <t>1936</t>
        </is>
      </c>
      <c r="G5" s="18" t="inlineStr">
        <is>
          <t>1939</t>
        </is>
      </c>
      <c r="H5" s="18" t="inlineStr">
        <is>
          <t>1945</t>
        </is>
      </c>
      <c r="I5" s="2" t="inlineStr">
        <is>
          <t>Inicio de la I GM</t>
        </is>
      </c>
      <c r="J5" s="2" t="inlineStr">
        <is>
          <t>Guerra civil española</t>
        </is>
      </c>
      <c r="K5" s="2" t="inlineStr">
        <is>
          <t>Inicio correcto</t>
        </is>
      </c>
      <c r="L5" s="2" t="inlineStr">
        <is>
          <t>Fin de la guerra</t>
        </is>
      </c>
      <c r="M5" s="3" t="inlineStr">
        <is>
          <t>C</t>
        </is>
      </c>
      <c r="N5" s="11" t="n">
        <v>1</v>
      </c>
      <c r="O5" s="11" t="n">
        <v>1</v>
      </c>
      <c r="P5" s="11" t="n">
        <v>0</v>
      </c>
      <c r="Q5" s="54" t="inlineStr">
        <is>
          <t>Añade aquí información adicional que requieras para tu autoestudio</t>
        </is>
      </c>
      <c r="R5" s="11" t="n">
        <v>0</v>
      </c>
      <c r="S5" s="11" t="n">
        <v>1</v>
      </c>
      <c r="T5" s="11" t="n">
        <v>0</v>
      </c>
    </row>
    <row r="6" ht="100.8" customHeight="1">
      <c r="A6" s="1" t="n">
        <v>1</v>
      </c>
      <c r="B6" s="1" t="inlineStr">
        <is>
          <t>Mat01</t>
        </is>
      </c>
      <c r="C6" s="1" t="inlineStr">
        <is>
          <t>VAR</t>
        </is>
      </c>
      <c r="D6" s="5" t="inlineStr">
        <is>
          <t>¿Qué significa la sigla PI?</t>
        </is>
      </c>
      <c r="E6" s="18" t="inlineStr">
        <is>
          <t>Proyecto Integrado</t>
        </is>
      </c>
      <c r="F6" s="18" t="inlineStr">
        <is>
          <t>Índice estadístico</t>
        </is>
      </c>
      <c r="G6" s="18" t="inlineStr">
        <is>
          <t>Constante matemática</t>
        </is>
      </c>
      <c r="H6" s="18" t="inlineStr">
        <is>
          <t>Programa informático</t>
        </is>
      </c>
      <c r="I6" s="2" t="inlineStr">
        <is>
          <t>No es correcta</t>
        </is>
      </c>
      <c r="J6" s="2" t="inlineStr">
        <is>
          <t>No es correcta</t>
        </is>
      </c>
      <c r="K6" s="2" t="inlineStr">
        <is>
          <t>Relación circunferencia/diámetro</t>
        </is>
      </c>
      <c r="L6" s="2" t="inlineStr">
        <is>
          <t>No es correcta</t>
        </is>
      </c>
      <c r="M6" s="3" t="inlineStr">
        <is>
          <t>C</t>
        </is>
      </c>
      <c r="N6" s="11" t="n">
        <v>0</v>
      </c>
      <c r="O6" s="11" t="n">
        <v>0</v>
      </c>
      <c r="P6" s="11" t="n">
        <v>0</v>
      </c>
      <c r="Q6" s="54" t="inlineStr">
        <is>
          <t>Añade aquí información adicional que requieras para tu autoestudio</t>
        </is>
      </c>
      <c r="R6" s="11" t="n">
        <v>0</v>
      </c>
      <c r="S6" s="11" t="n">
        <v>0</v>
      </c>
      <c r="T6" s="11" t="n">
        <v>0</v>
      </c>
    </row>
    <row r="7" ht="100.8" customHeight="1">
      <c r="A7" s="1" t="n">
        <v>1</v>
      </c>
      <c r="B7" s="1" t="inlineStr">
        <is>
          <t>Gen01</t>
        </is>
      </c>
      <c r="C7" s="1" t="inlineStr">
        <is>
          <t>VAR</t>
        </is>
      </c>
      <c r="D7" s="5" t="inlineStr">
        <is>
          <t>¿Cuál es la capital de Canadá?</t>
        </is>
      </c>
      <c r="E7" s="18" t="inlineStr">
        <is>
          <t>Toronto</t>
        </is>
      </c>
      <c r="F7" s="18" t="inlineStr">
        <is>
          <t>Ottawa</t>
        </is>
      </c>
      <c r="G7" s="18" t="inlineStr">
        <is>
          <t>Vancouver</t>
        </is>
      </c>
      <c r="H7" s="18" t="inlineStr">
        <is>
          <t>Montreal</t>
        </is>
      </c>
      <c r="I7" s="2" t="inlineStr">
        <is>
          <t>Ciudad más poblada</t>
        </is>
      </c>
      <c r="J7" s="2" t="inlineStr">
        <is>
          <t>Capital correcta</t>
        </is>
      </c>
      <c r="K7" s="2" t="inlineStr">
        <is>
          <t>Ciudad costera</t>
        </is>
      </c>
      <c r="L7" s="2" t="inlineStr">
        <is>
          <t>Ciudad francófona</t>
        </is>
      </c>
      <c r="M7" s="3" t="inlineStr">
        <is>
          <t>B</t>
        </is>
      </c>
      <c r="N7" s="11" t="n">
        <v>0</v>
      </c>
      <c r="O7" s="11" t="n">
        <v>0</v>
      </c>
      <c r="P7" s="11" t="n">
        <v>0</v>
      </c>
      <c r="Q7" s="54" t="inlineStr">
        <is>
          <t>Añade aquí información adicional que requieras para tu autoestudio</t>
        </is>
      </c>
      <c r="R7" s="11" t="n">
        <v>0</v>
      </c>
      <c r="S7" s="11" t="n">
        <v>0</v>
      </c>
      <c r="T7" s="11" t="n">
        <v>0</v>
      </c>
    </row>
    <row r="8" ht="100.8" customHeight="1">
      <c r="A8" s="1" t="n">
        <v>2</v>
      </c>
      <c r="B8" s="1" t="inlineStr">
        <is>
          <t>Gen02</t>
        </is>
      </c>
      <c r="C8" s="1" t="inlineStr">
        <is>
          <t>VAR</t>
        </is>
      </c>
      <c r="D8" s="5" t="inlineStr">
        <is>
          <t>¿Cuántos continentes hay en la Tierra?</t>
        </is>
      </c>
      <c r="E8" s="18" t="inlineStr">
        <is>
          <t>5</t>
        </is>
      </c>
      <c r="F8" s="18" t="inlineStr">
        <is>
          <t>6</t>
        </is>
      </c>
      <c r="G8" s="18" t="inlineStr">
        <is>
          <t>7</t>
        </is>
      </c>
      <c r="H8" s="18" t="inlineStr">
        <is>
          <t>8</t>
        </is>
      </c>
      <c r="I8" s="2" t="inlineStr">
        <is>
          <t>Modelo antiguo</t>
        </is>
      </c>
      <c r="J8" s="2" t="inlineStr">
        <is>
          <t>Con Antártida</t>
        </is>
      </c>
      <c r="K8" s="2" t="inlineStr">
        <is>
          <t>Modelo actual</t>
        </is>
      </c>
      <c r="L8" s="2" t="inlineStr">
        <is>
          <t>Incorrecto</t>
        </is>
      </c>
      <c r="M8" s="3" t="inlineStr">
        <is>
          <t>C</t>
        </is>
      </c>
      <c r="N8" s="11" t="n">
        <v>1</v>
      </c>
      <c r="O8" s="11" t="n">
        <v>1</v>
      </c>
      <c r="P8" s="11" t="n">
        <v>0</v>
      </c>
      <c r="Q8" s="54" t="inlineStr">
        <is>
          <t>Añade aquí información adicional que requieras para tu autoestudio</t>
        </is>
      </c>
      <c r="R8" s="11" t="n">
        <v>0</v>
      </c>
      <c r="S8" s="11" t="n">
        <v>1</v>
      </c>
      <c r="T8" s="11" t="n">
        <v>0</v>
      </c>
    </row>
    <row r="9" ht="100.8" customHeight="1">
      <c r="A9" s="1" t="n">
        <v>3</v>
      </c>
      <c r="B9" s="1" t="inlineStr">
        <is>
          <t>Gen03</t>
        </is>
      </c>
      <c r="C9" s="1" t="inlineStr">
        <is>
          <t>VAR</t>
        </is>
      </c>
      <c r="D9" s="5" t="inlineStr">
        <is>
          <t>¿Quién escribió 'El Quijote'?</t>
        </is>
      </c>
      <c r="E9" s="18" t="inlineStr">
        <is>
          <t>Miguel de Unamuno</t>
        </is>
      </c>
      <c r="F9" s="18" t="inlineStr">
        <is>
          <t>Miguel de Cervantes</t>
        </is>
      </c>
      <c r="G9" s="18" t="inlineStr">
        <is>
          <t>Lope de Vega</t>
        </is>
      </c>
      <c r="H9" s="18" t="inlineStr">
        <is>
          <t>Federico García Lorca</t>
        </is>
      </c>
      <c r="I9" s="2" t="inlineStr">
        <is>
          <t>Autor distinto</t>
        </is>
      </c>
      <c r="J9" s="2" t="inlineStr">
        <is>
          <t>Autor correcto</t>
        </is>
      </c>
      <c r="K9" s="2" t="inlineStr">
        <is>
          <t>Contemporáneo</t>
        </is>
      </c>
      <c r="L9" s="2" t="inlineStr">
        <is>
          <t>Siglo XX</t>
        </is>
      </c>
      <c r="M9" s="3" t="inlineStr">
        <is>
          <t>B</t>
        </is>
      </c>
      <c r="N9" s="11" t="n">
        <v>0</v>
      </c>
      <c r="O9" s="11" t="n">
        <v>0</v>
      </c>
      <c r="P9" s="11" t="n">
        <v>0</v>
      </c>
      <c r="Q9" s="54" t="inlineStr">
        <is>
          <t>Añade aquí información adicional que requieras para tu autoestudio</t>
        </is>
      </c>
      <c r="R9" s="11" t="n">
        <v>0</v>
      </c>
      <c r="S9" s="11" t="n">
        <v>0</v>
      </c>
      <c r="T9" s="11" t="n">
        <v>0</v>
      </c>
    </row>
    <row r="10" ht="100.8" customHeight="1">
      <c r="A10" s="1" t="n">
        <v>4</v>
      </c>
      <c r="B10" s="1" t="inlineStr">
        <is>
          <t>Gen04</t>
        </is>
      </c>
      <c r="C10" s="1" t="inlineStr">
        <is>
          <t>VAR</t>
        </is>
      </c>
      <c r="D10" s="5" t="inlineStr">
        <is>
          <t>¿Qué planeta es conocido como el planeta rojo?</t>
        </is>
      </c>
      <c r="E10" s="18" t="inlineStr">
        <is>
          <t>Mercurio</t>
        </is>
      </c>
      <c r="F10" s="18" t="inlineStr">
        <is>
          <t>Venus</t>
        </is>
      </c>
      <c r="G10" s="18" t="inlineStr">
        <is>
          <t>Marte</t>
        </is>
      </c>
      <c r="H10" s="18" t="inlineStr">
        <is>
          <t>Júpiter</t>
        </is>
      </c>
      <c r="I10" s="2" t="inlineStr">
        <is>
          <t>Planeta cercano al Sol</t>
        </is>
      </c>
      <c r="J10" s="2" t="inlineStr">
        <is>
          <t>Muy caliente</t>
        </is>
      </c>
      <c r="K10" s="2" t="inlineStr">
        <is>
          <t>Hierro oxidado</t>
        </is>
      </c>
      <c r="L10" s="2" t="inlineStr">
        <is>
          <t>Gigante gaseoso</t>
        </is>
      </c>
      <c r="M10" s="3" t="inlineStr">
        <is>
          <t>C</t>
        </is>
      </c>
      <c r="N10" s="11" t="n">
        <v>0</v>
      </c>
      <c r="O10" s="11" t="n">
        <v>0</v>
      </c>
      <c r="P10" s="11" t="n">
        <v>0</v>
      </c>
      <c r="Q10" s="54" t="inlineStr">
        <is>
          <t>Añade aquí información adicional que requieras para tu autoestudio</t>
        </is>
      </c>
      <c r="R10" s="11" t="n">
        <v>0</v>
      </c>
      <c r="S10" s="11" t="n">
        <v>0</v>
      </c>
      <c r="T10" s="11" t="n">
        <v>0</v>
      </c>
    </row>
    <row r="11" ht="100.8" customHeight="1">
      <c r="A11" s="1" t="n">
        <v>5</v>
      </c>
      <c r="B11" s="1" t="inlineStr">
        <is>
          <t>Gen05</t>
        </is>
      </c>
      <c r="C11" s="1" t="inlineStr">
        <is>
          <t>VAR</t>
        </is>
      </c>
      <c r="D11" s="5" t="inlineStr">
        <is>
          <t>¿En qué país se encuentra Machu Picchu?</t>
        </is>
      </c>
      <c r="E11" s="18" t="inlineStr">
        <is>
          <t>México</t>
        </is>
      </c>
      <c r="F11" s="18" t="inlineStr">
        <is>
          <t>Bolivia</t>
        </is>
      </c>
      <c r="G11" s="18" t="inlineStr">
        <is>
          <t>Perú</t>
        </is>
      </c>
      <c r="H11" s="18" t="inlineStr">
        <is>
          <t>Chile</t>
        </is>
      </c>
      <c r="I11" s="2" t="inlineStr">
        <is>
          <t>Centroamérica</t>
        </is>
      </c>
      <c r="J11" s="2" t="inlineStr">
        <is>
          <t>Altiplano</t>
        </is>
      </c>
      <c r="K11" s="2" t="inlineStr">
        <is>
          <t>Respuesta correcta</t>
        </is>
      </c>
      <c r="L11" s="2" t="inlineStr">
        <is>
          <t>Cordillera sur</t>
        </is>
      </c>
      <c r="M11" s="3" t="inlineStr">
        <is>
          <t>C</t>
        </is>
      </c>
      <c r="N11" s="11" t="n">
        <v>1</v>
      </c>
      <c r="O11" s="11" t="n">
        <v>1</v>
      </c>
      <c r="P11" s="11" t="n">
        <v>0</v>
      </c>
      <c r="Q11" s="54" t="inlineStr">
        <is>
          <t>Añade aquí información adicional que requieras para tu autoestudio</t>
        </is>
      </c>
      <c r="R11" s="11" t="n">
        <v>0</v>
      </c>
      <c r="S11" s="11" t="n">
        <v>1</v>
      </c>
      <c r="T11" s="11" t="n">
        <v>0</v>
      </c>
    </row>
    <row r="12" ht="100.8" customHeight="1">
      <c r="A12" s="1" t="n">
        <v>6</v>
      </c>
      <c r="B12" s="1" t="inlineStr">
        <is>
          <t>Gen06</t>
        </is>
      </c>
      <c r="C12" s="1" t="inlineStr">
        <is>
          <t>VAR</t>
        </is>
      </c>
      <c r="D12" s="5" t="inlineStr">
        <is>
          <t>¿Qué gas es esencial para la respiración humana?</t>
        </is>
      </c>
      <c r="E12" s="18" t="inlineStr">
        <is>
          <t>Nitrógeno</t>
        </is>
      </c>
      <c r="F12" s="18" t="inlineStr">
        <is>
          <t>Oxígeno</t>
        </is>
      </c>
      <c r="G12" s="18" t="inlineStr">
        <is>
          <t>Hidrógeno</t>
        </is>
      </c>
      <c r="H12" s="18" t="inlineStr">
        <is>
          <t>Dióxido de carbono</t>
        </is>
      </c>
      <c r="I12" s="2" t="inlineStr">
        <is>
          <t>Mayoritario en atmósfera</t>
        </is>
      </c>
      <c r="J12" s="2" t="inlineStr">
        <is>
          <t>Gas respirable</t>
        </is>
      </c>
      <c r="K12" s="2" t="inlineStr">
        <is>
          <t>Inflamable</t>
        </is>
      </c>
      <c r="L12" s="2" t="inlineStr">
        <is>
          <t>Gas residual</t>
        </is>
      </c>
      <c r="M12" s="3" t="inlineStr">
        <is>
          <t>B</t>
        </is>
      </c>
      <c r="N12" s="11" t="n">
        <v>0</v>
      </c>
      <c r="O12" s="11" t="n">
        <v>0</v>
      </c>
      <c r="P12" s="11" t="n">
        <v>0</v>
      </c>
      <c r="Q12" s="54" t="inlineStr">
        <is>
          <t>Añade aquí información adicional que requieras para tu autoestudio</t>
        </is>
      </c>
      <c r="R12" s="11" t="n">
        <v>0</v>
      </c>
      <c r="S12" s="11" t="n">
        <v>0</v>
      </c>
      <c r="T12" s="11" t="n">
        <v>0</v>
      </c>
    </row>
    <row r="13" ht="100.8" customHeight="1">
      <c r="A13" s="1" t="n">
        <v>7</v>
      </c>
      <c r="B13" s="1" t="inlineStr">
        <is>
          <t>Gen07</t>
        </is>
      </c>
      <c r="C13" s="1" t="inlineStr">
        <is>
          <t>VAR</t>
        </is>
      </c>
      <c r="D13" s="5" t="inlineStr">
        <is>
          <t>¿Cuál es el océano más grande del mundo?</t>
        </is>
      </c>
      <c r="E13" s="18" t="inlineStr">
        <is>
          <t>Atlántico</t>
        </is>
      </c>
      <c r="F13" s="18" t="inlineStr">
        <is>
          <t>Índico</t>
        </is>
      </c>
      <c r="G13" s="18" t="inlineStr">
        <is>
          <t>Ártico</t>
        </is>
      </c>
      <c r="H13" s="18" t="inlineStr">
        <is>
          <t>Pacífico</t>
        </is>
      </c>
      <c r="I13" s="2" t="inlineStr">
        <is>
          <t>Segundo mayor</t>
        </is>
      </c>
      <c r="J13" s="2" t="inlineStr">
        <is>
          <t>Entre África y Asia</t>
        </is>
      </c>
      <c r="K13" s="2" t="inlineStr">
        <is>
          <t>El más pequeño</t>
        </is>
      </c>
      <c r="L13" s="2" t="inlineStr">
        <is>
          <t>El más grande</t>
        </is>
      </c>
      <c r="M13" s="3" t="inlineStr">
        <is>
          <t>D</t>
        </is>
      </c>
      <c r="N13" s="11" t="n">
        <v>0</v>
      </c>
      <c r="O13" s="11" t="n">
        <v>0</v>
      </c>
      <c r="P13" s="11" t="n">
        <v>0</v>
      </c>
      <c r="Q13" s="54" t="inlineStr">
        <is>
          <t>Añade aquí información adicional que requieras para tu autoestudio</t>
        </is>
      </c>
      <c r="R13" s="11" t="n">
        <v>0</v>
      </c>
      <c r="S13" s="11" t="n">
        <v>0</v>
      </c>
      <c r="T13" s="11" t="n">
        <v>0</v>
      </c>
    </row>
    <row r="14" ht="100.8" customHeight="1">
      <c r="A14" s="1" t="n">
        <v>8</v>
      </c>
      <c r="B14" s="1" t="inlineStr">
        <is>
          <t>Gen08</t>
        </is>
      </c>
      <c r="C14" s="1" t="inlineStr">
        <is>
          <t>VAR</t>
        </is>
      </c>
      <c r="D14" s="5" t="inlineStr">
        <is>
          <t>¿Qué idioma tiene más hablantes nativos?</t>
        </is>
      </c>
      <c r="E14" s="18" t="inlineStr">
        <is>
          <t>Inglés</t>
        </is>
      </c>
      <c r="F14" s="18" t="inlineStr">
        <is>
          <t>Español</t>
        </is>
      </c>
      <c r="G14" s="18" t="inlineStr">
        <is>
          <t>Mandarín</t>
        </is>
      </c>
      <c r="H14" s="18" t="inlineStr">
        <is>
          <t>Hindi</t>
        </is>
      </c>
      <c r="I14" s="2" t="inlineStr">
        <is>
          <t>Lengua internacional</t>
        </is>
      </c>
      <c r="J14" s="2" t="inlineStr">
        <is>
          <t>Muy hablado</t>
        </is>
      </c>
      <c r="K14" s="2" t="inlineStr">
        <is>
          <t>Mayor comunidad nativa</t>
        </is>
      </c>
      <c r="L14" s="2" t="inlineStr">
        <is>
          <t>Lengua de India</t>
        </is>
      </c>
      <c r="M14" s="3" t="inlineStr">
        <is>
          <t>C</t>
        </is>
      </c>
      <c r="N14" s="11" t="n">
        <v>0</v>
      </c>
      <c r="O14" s="11" t="n">
        <v>0</v>
      </c>
      <c r="P14" s="11" t="n">
        <v>0</v>
      </c>
      <c r="Q14" s="54" t="inlineStr">
        <is>
          <t>Añade aquí información adicional que requieras para tu autoestudio</t>
        </is>
      </c>
      <c r="R14" s="11" t="n">
        <v>0</v>
      </c>
      <c r="S14" s="11" t="n">
        <v>0</v>
      </c>
      <c r="T14" s="11" t="n">
        <v>0</v>
      </c>
    </row>
    <row r="15" ht="100.8" customHeight="1">
      <c r="A15" s="1" t="n">
        <v>9</v>
      </c>
      <c r="B15" s="1" t="inlineStr">
        <is>
          <t>Gen09</t>
        </is>
      </c>
      <c r="C15" s="1" t="inlineStr">
        <is>
          <t>VAR</t>
        </is>
      </c>
      <c r="D15" s="5" t="inlineStr">
        <is>
          <t>¿Qué instrumento mide la temperatura?</t>
        </is>
      </c>
      <c r="E15" s="18" t="inlineStr">
        <is>
          <t>Barómetro</t>
        </is>
      </c>
      <c r="F15" s="18" t="inlineStr">
        <is>
          <t>Termómetro</t>
        </is>
      </c>
      <c r="G15" s="18" t="inlineStr">
        <is>
          <t>Higrómetro</t>
        </is>
      </c>
      <c r="H15" s="18" t="inlineStr">
        <is>
          <t>Anemómetro</t>
        </is>
      </c>
      <c r="I15" s="2" t="inlineStr">
        <is>
          <t>Presión</t>
        </is>
      </c>
      <c r="J15" s="2" t="inlineStr">
        <is>
          <t>Temperatura</t>
        </is>
      </c>
      <c r="K15" s="2" t="inlineStr">
        <is>
          <t>Humedad</t>
        </is>
      </c>
      <c r="L15" s="2" t="inlineStr">
        <is>
          <t>Viento</t>
        </is>
      </c>
      <c r="M15" s="3" t="inlineStr">
        <is>
          <t>B</t>
        </is>
      </c>
      <c r="N15" s="11" t="n">
        <v>0</v>
      </c>
      <c r="O15" s="11" t="n">
        <v>0</v>
      </c>
      <c r="P15" s="11" t="n">
        <v>0</v>
      </c>
      <c r="Q15" s="54" t="inlineStr">
        <is>
          <t>Añade aquí información adicional que requieras para tu autoestudio</t>
        </is>
      </c>
      <c r="R15" s="11" t="n">
        <v>0</v>
      </c>
      <c r="S15" s="11" t="n">
        <v>0</v>
      </c>
      <c r="T15" s="11" t="n">
        <v>0</v>
      </c>
    </row>
    <row r="16" ht="100.8" customHeight="1">
      <c r="A16" s="1" t="n">
        <v>10</v>
      </c>
      <c r="B16" s="1" t="inlineStr">
        <is>
          <t>Gen10</t>
        </is>
      </c>
      <c r="C16" s="1" t="inlineStr">
        <is>
          <t>VAR</t>
        </is>
      </c>
      <c r="D16" s="5" t="inlineStr">
        <is>
          <t>¿Cuál es el metal cuyo símbolo es Fe?</t>
        </is>
      </c>
      <c r="E16" s="18" t="inlineStr">
        <is>
          <t>Plomo</t>
        </is>
      </c>
      <c r="F16" s="18" t="inlineStr">
        <is>
          <t>Hierro</t>
        </is>
      </c>
      <c r="G16" s="18" t="inlineStr">
        <is>
          <t>Estaño</t>
        </is>
      </c>
      <c r="H16" s="18" t="inlineStr">
        <is>
          <t>Cobre</t>
        </is>
      </c>
      <c r="I16" s="2" t="inlineStr">
        <is>
          <t>Pb</t>
        </is>
      </c>
      <c r="J16" s="2" t="inlineStr">
        <is>
          <t>Fe</t>
        </is>
      </c>
      <c r="K16" s="2" t="inlineStr">
        <is>
          <t>Sn</t>
        </is>
      </c>
      <c r="L16" s="2" t="inlineStr">
        <is>
          <t>Cu</t>
        </is>
      </c>
      <c r="M16" s="3" t="inlineStr">
        <is>
          <t>B</t>
        </is>
      </c>
      <c r="N16" s="11" t="n">
        <v>0</v>
      </c>
      <c r="O16" s="11" t="n">
        <v>0</v>
      </c>
      <c r="P16" s="11" t="n">
        <v>0</v>
      </c>
      <c r="Q16" s="54" t="inlineStr">
        <is>
          <t>Añade aquí información adicional que requieras para tu autoestudio</t>
        </is>
      </c>
      <c r="R16" s="11" t="n">
        <v>0</v>
      </c>
      <c r="S16" s="11" t="n">
        <v>0</v>
      </c>
      <c r="T16" s="11" t="n">
        <v>0</v>
      </c>
    </row>
    <row r="17" ht="100.8" customHeight="1">
      <c r="A17" s="1" t="n">
        <v>11</v>
      </c>
      <c r="B17" s="1" t="inlineStr">
        <is>
          <t>Gen11</t>
        </is>
      </c>
      <c r="C17" s="1" t="inlineStr">
        <is>
          <t>VAR</t>
        </is>
      </c>
      <c r="D17" s="5" t="inlineStr">
        <is>
          <t>¿En qué siglo ocurrió la Revolución Francesa?</t>
        </is>
      </c>
      <c r="E17" s="18" t="inlineStr">
        <is>
          <t>Siglo XVI</t>
        </is>
      </c>
      <c r="F17" s="18" t="inlineStr">
        <is>
          <t>Siglo XVII</t>
        </is>
      </c>
      <c r="G17" s="18" t="inlineStr">
        <is>
          <t>Siglo XVIII</t>
        </is>
      </c>
      <c r="H17" s="18" t="inlineStr">
        <is>
          <t>Siglo XIX</t>
        </is>
      </c>
      <c r="I17" s="2" t="inlineStr">
        <is>
          <t>Incorrecto</t>
        </is>
      </c>
      <c r="J17" s="2" t="inlineStr">
        <is>
          <t>Incorrecto</t>
        </is>
      </c>
      <c r="K17" s="2" t="inlineStr">
        <is>
          <t>Respuesta correcta</t>
        </is>
      </c>
      <c r="L17" s="2" t="inlineStr">
        <is>
          <t>Posterior</t>
        </is>
      </c>
      <c r="M17" s="3" t="inlineStr">
        <is>
          <t>C</t>
        </is>
      </c>
      <c r="N17" s="11" t="n">
        <v>0</v>
      </c>
      <c r="O17" s="11" t="n">
        <v>0</v>
      </c>
      <c r="P17" s="11" t="n">
        <v>0</v>
      </c>
      <c r="Q17" s="54" t="inlineStr">
        <is>
          <t>Añade aquí información adicional que requieras para tu autoestudio</t>
        </is>
      </c>
      <c r="R17" s="11" t="n">
        <v>0</v>
      </c>
      <c r="S17" s="11" t="n">
        <v>0</v>
      </c>
      <c r="T17" s="11" t="n">
        <v>0</v>
      </c>
    </row>
    <row r="18" ht="100.8" customHeight="1">
      <c r="A18" s="1" t="n">
        <v>12</v>
      </c>
      <c r="B18" s="1" t="inlineStr">
        <is>
          <t>Gen12</t>
        </is>
      </c>
      <c r="C18" s="1" t="inlineStr">
        <is>
          <t>VAR</t>
        </is>
      </c>
      <c r="D18" s="5" t="inlineStr">
        <is>
          <t>¿Qué parte del cuerpo humano bombea la sangre?</t>
        </is>
      </c>
      <c r="E18" s="18" t="inlineStr">
        <is>
          <t>Pulmones</t>
        </is>
      </c>
      <c r="F18" s="18" t="inlineStr">
        <is>
          <t>Hígado</t>
        </is>
      </c>
      <c r="G18" s="18" t="inlineStr">
        <is>
          <t>Cerebro</t>
        </is>
      </c>
      <c r="H18" s="18" t="inlineStr">
        <is>
          <t>Corazón</t>
        </is>
      </c>
      <c r="I18" s="2" t="inlineStr">
        <is>
          <t>Respiración</t>
        </is>
      </c>
      <c r="J18" s="2" t="inlineStr">
        <is>
          <t>Metabolismo</t>
        </is>
      </c>
      <c r="K18" s="2" t="inlineStr">
        <is>
          <t>Control nervioso</t>
        </is>
      </c>
      <c r="L18" s="2" t="inlineStr">
        <is>
          <t>Función circulatoria</t>
        </is>
      </c>
      <c r="M18" s="3" t="inlineStr">
        <is>
          <t>D</t>
        </is>
      </c>
      <c r="N18" s="11" t="n">
        <v>1</v>
      </c>
      <c r="O18" s="11" t="n">
        <v>0</v>
      </c>
      <c r="P18" s="11" t="n">
        <v>0</v>
      </c>
      <c r="Q18" s="54" t="inlineStr">
        <is>
          <t>Añade aquí información adicional que requieras para tu autoestudio</t>
        </is>
      </c>
      <c r="R18" s="11" t="n">
        <v>0</v>
      </c>
      <c r="S18" s="11" t="n">
        <v>0</v>
      </c>
      <c r="T18" s="11" t="n">
        <v>1</v>
      </c>
    </row>
    <row r="19" ht="100.8" customHeight="1">
      <c r="A19" s="1" t="n">
        <v>13</v>
      </c>
      <c r="B19" s="1" t="inlineStr">
        <is>
          <t>Gen13</t>
        </is>
      </c>
      <c r="C19" s="1" t="inlineStr">
        <is>
          <t>VAR</t>
        </is>
      </c>
      <c r="D19" s="5" t="inlineStr">
        <is>
          <t>¿Cuál es el idioma oficial de Brasil?</t>
        </is>
      </c>
      <c r="E19" s="18" t="inlineStr">
        <is>
          <t>Español</t>
        </is>
      </c>
      <c r="F19" s="18" t="inlineStr">
        <is>
          <t>Portugués</t>
        </is>
      </c>
      <c r="G19" s="18" t="inlineStr">
        <is>
          <t>Francés</t>
        </is>
      </c>
      <c r="H19" s="18" t="inlineStr">
        <is>
          <t>Inglés</t>
        </is>
      </c>
      <c r="I19" s="2" t="inlineStr">
        <is>
          <t>Común en región</t>
        </is>
      </c>
      <c r="J19" s="2" t="inlineStr">
        <is>
          <t>Respuesta correcta</t>
        </is>
      </c>
      <c r="K19" s="2" t="inlineStr">
        <is>
          <t>Colonial</t>
        </is>
      </c>
      <c r="L19" s="2" t="inlineStr">
        <is>
          <t>Lengua internacional</t>
        </is>
      </c>
      <c r="M19" s="3" t="inlineStr">
        <is>
          <t>B</t>
        </is>
      </c>
      <c r="N19" s="11" t="n">
        <v>0</v>
      </c>
      <c r="O19" s="11" t="n">
        <v>0</v>
      </c>
      <c r="P19" s="11" t="n">
        <v>0</v>
      </c>
      <c r="Q19" s="54" t="inlineStr">
        <is>
          <t>Añade aquí información adicional que requieras para tu autoestudio</t>
        </is>
      </c>
      <c r="R19" s="11" t="n">
        <v>0</v>
      </c>
      <c r="S19" s="11" t="n">
        <v>0</v>
      </c>
      <c r="T19" s="11" t="n">
        <v>0</v>
      </c>
    </row>
    <row r="20" ht="100.8" customHeight="1">
      <c r="A20" s="1" t="n">
        <v>14</v>
      </c>
      <c r="B20" s="1" t="inlineStr">
        <is>
          <t>Gen14</t>
        </is>
      </c>
      <c r="C20" s="1" t="inlineStr">
        <is>
          <t>VAR</t>
        </is>
      </c>
      <c r="D20" s="5" t="inlineStr">
        <is>
          <t>¿Qué planeta tiene los anillos más visibles?</t>
        </is>
      </c>
      <c r="E20" s="18" t="inlineStr">
        <is>
          <t>Júpiter</t>
        </is>
      </c>
      <c r="F20" s="18" t="inlineStr">
        <is>
          <t>Urano</t>
        </is>
      </c>
      <c r="G20" s="18" t="inlineStr">
        <is>
          <t>Saturno</t>
        </is>
      </c>
      <c r="H20" s="18" t="inlineStr">
        <is>
          <t>Neptuno</t>
        </is>
      </c>
      <c r="I20" s="2" t="inlineStr">
        <is>
          <t>Anillos débiles</t>
        </is>
      </c>
      <c r="J20" s="2" t="inlineStr">
        <is>
          <t>Inclinados</t>
        </is>
      </c>
      <c r="K20" s="2" t="inlineStr">
        <is>
          <t>Muy visibles</t>
        </is>
      </c>
      <c r="L20" s="2" t="inlineStr">
        <is>
          <t>Distante</t>
        </is>
      </c>
      <c r="M20" s="3" t="inlineStr">
        <is>
          <t>C</t>
        </is>
      </c>
      <c r="N20" s="11" t="n">
        <v>0</v>
      </c>
      <c r="O20" s="11" t="n">
        <v>0</v>
      </c>
      <c r="P20" s="11" t="n">
        <v>0</v>
      </c>
      <c r="Q20" s="54" t="inlineStr">
        <is>
          <t>Añade aquí información adicional que requieras para tu autoestudio</t>
        </is>
      </c>
      <c r="R20" s="11" t="n">
        <v>0</v>
      </c>
      <c r="S20" s="11" t="n">
        <v>0</v>
      </c>
      <c r="T20" s="11" t="n">
        <v>0</v>
      </c>
    </row>
    <row r="21" ht="100.8" customHeight="1">
      <c r="A21" s="1" t="n">
        <v>15</v>
      </c>
      <c r="B21" s="1" t="inlineStr">
        <is>
          <t>Gen15</t>
        </is>
      </c>
      <c r="C21" s="1" t="inlineStr">
        <is>
          <t>VAR</t>
        </is>
      </c>
      <c r="D21" s="5" t="inlineStr">
        <is>
          <t>¿Qué ciencia estudia los terremotos?</t>
        </is>
      </c>
      <c r="E21" s="18" t="inlineStr">
        <is>
          <t>Meteorología</t>
        </is>
      </c>
      <c r="F21" s="18" t="inlineStr">
        <is>
          <t>Geología</t>
        </is>
      </c>
      <c r="G21" s="18" t="inlineStr">
        <is>
          <t>Sismología</t>
        </is>
      </c>
      <c r="H21" s="18" t="inlineStr">
        <is>
          <t>Astronomía</t>
        </is>
      </c>
      <c r="I21" s="2" t="inlineStr">
        <is>
          <t>Clima</t>
        </is>
      </c>
      <c r="J21" s="2" t="inlineStr">
        <is>
          <t>Estructura terrestre</t>
        </is>
      </c>
      <c r="K21" s="2" t="inlineStr">
        <is>
          <t>Respuesta correcta</t>
        </is>
      </c>
      <c r="L21" s="2" t="inlineStr">
        <is>
          <t>Espacio</t>
        </is>
      </c>
      <c r="M21" s="3" t="inlineStr">
        <is>
          <t>C</t>
        </is>
      </c>
      <c r="N21" s="11" t="n">
        <v>0</v>
      </c>
      <c r="O21" s="11" t="n">
        <v>0</v>
      </c>
      <c r="P21" s="11" t="n">
        <v>0</v>
      </c>
      <c r="Q21" s="54" t="inlineStr">
        <is>
          <t>Añade aquí información adicional que requieras para tu autoestudio</t>
        </is>
      </c>
      <c r="R21" s="11" t="n">
        <v>0</v>
      </c>
      <c r="S21" s="11" t="n">
        <v>0</v>
      </c>
      <c r="T21" s="11" t="n">
        <v>0</v>
      </c>
    </row>
    <row r="22" ht="100.8" customHeight="1">
      <c r="A22" s="1" t="n">
        <v>16</v>
      </c>
      <c r="B22" s="1" t="inlineStr">
        <is>
          <t>Gen16</t>
        </is>
      </c>
      <c r="C22" s="1" t="inlineStr">
        <is>
          <t>VAR</t>
        </is>
      </c>
      <c r="D22" s="5" t="inlineStr">
        <is>
          <t>¿Cuál es la moneda oficial del Reino Unido?</t>
        </is>
      </c>
      <c r="E22" s="18" t="inlineStr">
        <is>
          <t>Euro</t>
        </is>
      </c>
      <c r="F22" s="18" t="inlineStr">
        <is>
          <t>Libra esterlina</t>
        </is>
      </c>
      <c r="G22" s="18" t="inlineStr">
        <is>
          <t>Dólar</t>
        </is>
      </c>
      <c r="H22" s="18" t="inlineStr">
        <is>
          <t>Corona</t>
        </is>
      </c>
      <c r="I22" s="2" t="inlineStr">
        <is>
          <t>UE</t>
        </is>
      </c>
      <c r="J22" s="2" t="inlineStr">
        <is>
          <t>Respuesta correcta</t>
        </is>
      </c>
      <c r="K22" s="2" t="inlineStr">
        <is>
          <t>EEUU</t>
        </is>
      </c>
      <c r="L22" s="2" t="inlineStr">
        <is>
          <t>Países nórdicos</t>
        </is>
      </c>
      <c r="M22" s="3" t="inlineStr">
        <is>
          <t>B</t>
        </is>
      </c>
      <c r="N22" s="11" t="n">
        <v>0</v>
      </c>
      <c r="O22" s="11" t="n">
        <v>0</v>
      </c>
      <c r="P22" s="11" t="n">
        <v>0</v>
      </c>
      <c r="Q22" s="54" t="inlineStr">
        <is>
          <t>Añade aquí información adicional que requieras para tu autoestudio</t>
        </is>
      </c>
      <c r="R22" s="11" t="n">
        <v>0</v>
      </c>
      <c r="S22" s="11" t="n">
        <v>0</v>
      </c>
      <c r="T22" s="11" t="n">
        <v>0</v>
      </c>
    </row>
    <row r="23" ht="100.8" customHeight="1">
      <c r="A23" s="1" t="n">
        <v>17</v>
      </c>
      <c r="B23" s="1" t="inlineStr">
        <is>
          <t>Gen17</t>
        </is>
      </c>
      <c r="C23" s="1" t="inlineStr">
        <is>
          <t>VAR</t>
        </is>
      </c>
      <c r="D23" s="5" t="inlineStr">
        <is>
          <t>¿Qué órgano del cuerpo humano filtra la sangre?</t>
        </is>
      </c>
      <c r="E23" s="18" t="inlineStr">
        <is>
          <t>Pulmones</t>
        </is>
      </c>
      <c r="F23" s="18" t="inlineStr">
        <is>
          <t>Riñones</t>
        </is>
      </c>
      <c r="G23" s="18" t="inlineStr">
        <is>
          <t>Estómago</t>
        </is>
      </c>
      <c r="H23" s="18" t="inlineStr">
        <is>
          <t>Páncreas</t>
        </is>
      </c>
      <c r="I23" s="2" t="inlineStr">
        <is>
          <t>Oxigenación</t>
        </is>
      </c>
      <c r="J23" s="2" t="inlineStr">
        <is>
          <t>Filtrado</t>
        </is>
      </c>
      <c r="K23" s="2" t="inlineStr">
        <is>
          <t>Digestión</t>
        </is>
      </c>
      <c r="L23" s="2" t="inlineStr">
        <is>
          <t>Regulación glucosa</t>
        </is>
      </c>
      <c r="M23" s="3" t="inlineStr">
        <is>
          <t>B</t>
        </is>
      </c>
      <c r="N23" s="11" t="n">
        <v>1</v>
      </c>
      <c r="O23" s="11" t="n">
        <v>1</v>
      </c>
      <c r="P23" s="11" t="n">
        <v>0</v>
      </c>
      <c r="Q23" s="54" t="inlineStr">
        <is>
          <t>Añade aquí información adicional que requieras para tu autoestudio</t>
        </is>
      </c>
      <c r="R23" s="11" t="n">
        <v>0</v>
      </c>
      <c r="S23" s="11" t="n">
        <v>1</v>
      </c>
      <c r="T23" s="11" t="n">
        <v>0</v>
      </c>
    </row>
    <row r="24" ht="100.8" customHeight="1">
      <c r="A24" s="1" t="n">
        <v>18</v>
      </c>
      <c r="B24" s="1" t="inlineStr">
        <is>
          <t>Gen18</t>
        </is>
      </c>
      <c r="C24" s="1" t="inlineStr">
        <is>
          <t>VAR</t>
        </is>
      </c>
      <c r="D24" s="5" t="inlineStr">
        <is>
          <t>¿Cuál es el continente más grande?</t>
        </is>
      </c>
      <c r="E24" s="18" t="inlineStr">
        <is>
          <t>África</t>
        </is>
      </c>
      <c r="F24" s="18" t="inlineStr">
        <is>
          <t>Europa</t>
        </is>
      </c>
      <c r="G24" s="18" t="inlineStr">
        <is>
          <t>Asia</t>
        </is>
      </c>
      <c r="H24" s="18" t="inlineStr">
        <is>
          <t>América</t>
        </is>
      </c>
      <c r="I24" s="2" t="inlineStr">
        <is>
          <t>Extenso</t>
        </is>
      </c>
      <c r="J24" s="2" t="inlineStr">
        <is>
          <t>Pequeño</t>
        </is>
      </c>
      <c r="K24" s="2" t="inlineStr">
        <is>
          <t>Respuesta correcta</t>
        </is>
      </c>
      <c r="L24" s="2" t="inlineStr">
        <is>
          <t>Modelo combinado</t>
        </is>
      </c>
      <c r="M24" s="3" t="inlineStr">
        <is>
          <t>C</t>
        </is>
      </c>
      <c r="N24" s="11" t="n">
        <v>0</v>
      </c>
      <c r="O24" s="11" t="n">
        <v>0</v>
      </c>
      <c r="P24" s="11" t="n">
        <v>0</v>
      </c>
      <c r="Q24" s="54" t="inlineStr">
        <is>
          <t>Añade aquí información adicional que requieras para tu autoestudio</t>
        </is>
      </c>
      <c r="R24" s="11" t="n">
        <v>0</v>
      </c>
      <c r="S24" s="11" t="n">
        <v>0</v>
      </c>
      <c r="T24" s="11" t="n">
        <v>0</v>
      </c>
    </row>
    <row r="25" ht="100.8" customHeight="1">
      <c r="A25" s="1" t="n">
        <v>19</v>
      </c>
      <c r="B25" s="1" t="inlineStr">
        <is>
          <t>Gen19</t>
        </is>
      </c>
      <c r="C25" s="1" t="inlineStr">
        <is>
          <t>VAR</t>
        </is>
      </c>
      <c r="D25" s="5" t="inlineStr">
        <is>
          <t>¿Qué fenómeno produce el arcoíris?</t>
        </is>
      </c>
      <c r="E25" s="18" t="inlineStr">
        <is>
          <t>Reflexión</t>
        </is>
      </c>
      <c r="F25" s="18" t="inlineStr">
        <is>
          <t>Difracción</t>
        </is>
      </c>
      <c r="G25" s="18" t="inlineStr">
        <is>
          <t>Refracción y reflexión</t>
        </is>
      </c>
      <c r="H25" s="18" t="inlineStr">
        <is>
          <t>Absorción</t>
        </is>
      </c>
      <c r="I25" s="2" t="inlineStr">
        <is>
          <t>Luz reflejada</t>
        </is>
      </c>
      <c r="J25" s="2" t="inlineStr">
        <is>
          <t>Ondas</t>
        </is>
      </c>
      <c r="K25" s="2" t="inlineStr">
        <is>
          <t>Respuesta correcta</t>
        </is>
      </c>
      <c r="L25" s="2" t="inlineStr">
        <is>
          <t>Pérdida de luz</t>
        </is>
      </c>
      <c r="M25" s="3" t="inlineStr">
        <is>
          <t>C</t>
        </is>
      </c>
      <c r="N25" s="11" t="n">
        <v>0</v>
      </c>
      <c r="O25" s="11" t="n">
        <v>0</v>
      </c>
      <c r="P25" s="11" t="n">
        <v>0</v>
      </c>
      <c r="Q25" s="54" t="inlineStr">
        <is>
          <t>Añade aquí información adicional que requieras para tu autoestudio</t>
        </is>
      </c>
      <c r="R25" s="11" t="n">
        <v>0</v>
      </c>
      <c r="S25" s="11" t="n">
        <v>0</v>
      </c>
      <c r="T25" s="11" t="n">
        <v>0</v>
      </c>
    </row>
    <row r="26" ht="100.8" customHeight="1">
      <c r="A26" s="1" t="n">
        <v>20</v>
      </c>
      <c r="B26" s="1" t="inlineStr">
        <is>
          <t>Gen20</t>
        </is>
      </c>
      <c r="C26" s="1" t="inlineStr">
        <is>
          <t>VAR</t>
        </is>
      </c>
      <c r="D26" s="5" t="inlineStr">
        <is>
          <t>¿Qué país inventó el papel?</t>
        </is>
      </c>
      <c r="E26" s="18" t="inlineStr">
        <is>
          <t>Egipto</t>
        </is>
      </c>
      <c r="F26" s="18" t="inlineStr">
        <is>
          <t>Grecia</t>
        </is>
      </c>
      <c r="G26" s="18" t="inlineStr">
        <is>
          <t>China</t>
        </is>
      </c>
      <c r="H26" s="18" t="inlineStr">
        <is>
          <t>India</t>
        </is>
      </c>
      <c r="I26" s="2" t="inlineStr">
        <is>
          <t>Papiro</t>
        </is>
      </c>
      <c r="J26" s="2" t="inlineStr">
        <is>
          <t>Filosofía</t>
        </is>
      </c>
      <c r="K26" s="2" t="inlineStr">
        <is>
          <t>Respuesta correcta</t>
        </is>
      </c>
      <c r="L26" s="2" t="inlineStr">
        <is>
          <t>Escrituras antiguas</t>
        </is>
      </c>
      <c r="M26" s="3" t="inlineStr">
        <is>
          <t>C</t>
        </is>
      </c>
      <c r="N26" s="11" t="n">
        <v>0</v>
      </c>
      <c r="O26" s="11" t="n">
        <v>0</v>
      </c>
      <c r="P26" s="11" t="n">
        <v>0</v>
      </c>
      <c r="Q26" s="54" t="inlineStr">
        <is>
          <t>Añade aquí información adicional que requieras para tu autoestudio</t>
        </is>
      </c>
      <c r="R26" s="11" t="n">
        <v>0</v>
      </c>
      <c r="S26" s="11" t="n">
        <v>0</v>
      </c>
      <c r="T26" s="11" t="n">
        <v>0</v>
      </c>
    </row>
  </sheetData>
  <autoFilter ref="A1:T6">
    <sortState ref="A2:T6">
      <sortCondition ref="B1:B6"/>
    </sortState>
  </autoFilter>
  <pageMargins left="0.7" right="0.7" top="0.75" bottom="0.75" header="0.3" footer="0.3"/>
  <pageSetup orientation="portrait" paperSize="9" horizontalDpi="200" verticalDpi="200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P20"/>
  <sheetViews>
    <sheetView workbookViewId="0">
      <selection activeCell="K26" sqref="K26"/>
    </sheetView>
  </sheetViews>
  <sheetFormatPr baseColWidth="10" defaultRowHeight="14.4"/>
  <sheetData>
    <row r="1">
      <c r="A1" s="59" t="inlineStr">
        <is>
          <t>FIGURA 1</t>
        </is>
      </c>
      <c r="B1" s="59" t="n"/>
      <c r="C1" s="59" t="n"/>
      <c r="D1" s="59" t="n"/>
      <c r="E1" s="59" t="n"/>
      <c r="F1" s="59" t="n"/>
      <c r="G1" s="59" t="n"/>
      <c r="H1" s="60" t="inlineStr">
        <is>
          <t>FIGURA 2</t>
        </is>
      </c>
      <c r="I1" s="60" t="n"/>
      <c r="J1" s="60" t="n"/>
      <c r="K1" s="60" t="n"/>
      <c r="L1" s="60" t="n"/>
      <c r="M1" s="60" t="n"/>
      <c r="N1" s="60" t="n"/>
      <c r="O1" s="60" t="n"/>
      <c r="P1" s="60" t="n"/>
    </row>
    <row r="2">
      <c r="A2" s="59" t="n"/>
      <c r="B2" s="59" t="n"/>
      <c r="C2" s="59" t="n"/>
      <c r="D2" s="59" t="n"/>
      <c r="E2" s="59" t="n"/>
      <c r="F2" s="59" t="n"/>
      <c r="G2" s="59" t="n"/>
      <c r="H2" s="60" t="n"/>
      <c r="I2" s="60" t="n"/>
      <c r="J2" s="60" t="n"/>
      <c r="K2" s="60" t="n"/>
      <c r="L2" s="60" t="n"/>
      <c r="M2" s="60" t="n"/>
      <c r="N2" s="60" t="n"/>
      <c r="O2" s="60" t="n"/>
      <c r="P2" s="60" t="n"/>
    </row>
    <row r="3">
      <c r="A3" s="59" t="n"/>
      <c r="B3" s="59" t="n"/>
      <c r="C3" s="59" t="n"/>
      <c r="D3" s="59" t="n"/>
      <c r="E3" s="59" t="n"/>
      <c r="F3" s="59" t="n"/>
      <c r="G3" s="59" t="n"/>
      <c r="H3" s="60" t="n"/>
      <c r="I3" s="60" t="n"/>
      <c r="J3" s="60" t="n"/>
      <c r="K3" s="60" t="n"/>
      <c r="L3" s="60" t="n"/>
      <c r="M3" s="60" t="n"/>
      <c r="N3" s="60" t="n"/>
      <c r="O3" s="60" t="n"/>
      <c r="P3" s="60" t="n"/>
    </row>
    <row r="4">
      <c r="A4" s="59" t="n"/>
      <c r="B4" s="59" t="n"/>
      <c r="C4" s="59" t="n"/>
      <c r="D4" s="59" t="n"/>
      <c r="E4" s="59" t="n"/>
      <c r="F4" s="59" t="n"/>
      <c r="G4" s="59" t="n"/>
      <c r="H4" s="60" t="n"/>
      <c r="I4" s="60" t="n"/>
      <c r="J4" s="60" t="n"/>
      <c r="K4" s="60" t="n"/>
      <c r="L4" s="60" t="n"/>
      <c r="M4" s="60" t="n"/>
      <c r="N4" s="60" t="n"/>
      <c r="O4" s="60" t="n"/>
      <c r="P4" s="60" t="n"/>
    </row>
    <row r="5">
      <c r="A5" s="59" t="n"/>
      <c r="B5" s="59" t="n"/>
      <c r="C5" s="59" t="n"/>
      <c r="D5" s="59" t="n"/>
      <c r="E5" s="59" t="n"/>
      <c r="F5" s="59" t="n"/>
      <c r="G5" s="59" t="n"/>
      <c r="H5" s="60" t="n"/>
      <c r="I5" s="60" t="n"/>
      <c r="J5" s="60" t="n"/>
      <c r="K5" s="60" t="n"/>
      <c r="L5" s="60" t="n"/>
      <c r="M5" s="60" t="n"/>
      <c r="N5" s="60" t="n"/>
      <c r="O5" s="60" t="n"/>
      <c r="P5" s="60" t="n"/>
    </row>
    <row r="6">
      <c r="A6" s="59" t="n"/>
      <c r="B6" s="59" t="n"/>
      <c r="C6" s="59" t="n"/>
      <c r="D6" s="59" t="n"/>
      <c r="E6" s="59" t="n"/>
      <c r="F6" s="59" t="n"/>
      <c r="G6" s="59" t="n"/>
      <c r="H6" s="60" t="n"/>
      <c r="I6" s="60" t="n"/>
      <c r="J6" s="60" t="n"/>
      <c r="K6" s="60" t="n"/>
      <c r="L6" s="60" t="n"/>
      <c r="M6" s="60" t="n"/>
      <c r="N6" s="60" t="n"/>
      <c r="O6" s="60" t="n"/>
      <c r="P6" s="60" t="n"/>
    </row>
    <row r="7">
      <c r="A7" s="59" t="n"/>
      <c r="B7" s="59" t="n"/>
      <c r="C7" s="59" t="n"/>
      <c r="D7" s="59" t="n"/>
      <c r="E7" s="59" t="n"/>
      <c r="F7" s="59" t="n"/>
      <c r="G7" s="59" t="n"/>
      <c r="H7" s="60" t="n"/>
      <c r="I7" s="60" t="n"/>
      <c r="J7" s="60" t="n"/>
      <c r="K7" s="60" t="n"/>
      <c r="L7" s="60" t="n"/>
      <c r="M7" s="60" t="n"/>
      <c r="N7" s="60" t="n"/>
      <c r="O7" s="60" t="n"/>
      <c r="P7" s="60" t="n"/>
    </row>
    <row r="8">
      <c r="A8" s="59" t="n"/>
      <c r="B8" s="59" t="n"/>
      <c r="C8" s="59" t="n"/>
      <c r="D8" s="59" t="n"/>
      <c r="E8" s="59" t="n"/>
      <c r="F8" s="59" t="n"/>
      <c r="G8" s="59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</row>
    <row r="9">
      <c r="A9" s="59" t="n"/>
      <c r="B9" s="59" t="n"/>
      <c r="C9" s="59" t="n"/>
      <c r="D9" s="59" t="n"/>
      <c r="E9" s="59" t="n"/>
      <c r="F9" s="59" t="n"/>
      <c r="G9" s="59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</row>
    <row r="10">
      <c r="A10" s="59" t="n"/>
      <c r="B10" s="59" t="n"/>
      <c r="C10" s="59" t="n"/>
      <c r="D10" s="59" t="n"/>
      <c r="E10" s="59" t="n"/>
      <c r="F10" s="59" t="n"/>
      <c r="G10" s="59" t="n"/>
      <c r="H10" s="60" t="n"/>
      <c r="I10" s="60" t="n"/>
      <c r="J10" s="60" t="n"/>
      <c r="K10" s="60" t="n"/>
      <c r="L10" s="60" t="n"/>
      <c r="M10" s="60" t="n"/>
      <c r="N10" s="60" t="n"/>
      <c r="O10" s="60" t="n"/>
      <c r="P10" s="60" t="n"/>
    </row>
    <row r="11">
      <c r="A11" s="59" t="n"/>
      <c r="B11" s="59" t="n"/>
      <c r="C11" s="59" t="n"/>
      <c r="D11" s="59" t="n"/>
      <c r="E11" s="59" t="n"/>
      <c r="F11" s="59" t="n"/>
      <c r="G11" s="59" t="n"/>
      <c r="H11" s="60" t="n"/>
      <c r="I11" s="60" t="n"/>
      <c r="J11" s="60" t="n"/>
      <c r="K11" s="60" t="n"/>
      <c r="L11" s="60" t="n"/>
      <c r="M11" s="60" t="n"/>
      <c r="N11" s="60" t="n"/>
      <c r="O11" s="60" t="n"/>
      <c r="P11" s="60" t="n"/>
    </row>
    <row r="12">
      <c r="A12" s="59" t="n"/>
      <c r="B12" s="59" t="n"/>
      <c r="C12" s="59" t="n"/>
      <c r="D12" s="59" t="n"/>
      <c r="E12" s="59" t="n"/>
      <c r="F12" s="59" t="n"/>
      <c r="G12" s="59" t="n"/>
      <c r="H12" s="60" t="n"/>
      <c r="I12" s="60" t="n"/>
      <c r="J12" s="60" t="n"/>
      <c r="K12" s="60" t="n"/>
      <c r="L12" s="60" t="n"/>
      <c r="M12" s="60" t="n"/>
      <c r="N12" s="60" t="n"/>
      <c r="O12" s="60" t="n"/>
      <c r="P12" s="60" t="n"/>
    </row>
    <row r="13">
      <c r="A13" s="59" t="n"/>
      <c r="B13" s="59" t="n"/>
      <c r="C13" s="59" t="n"/>
      <c r="D13" s="59" t="n"/>
      <c r="E13" s="59" t="n"/>
      <c r="F13" s="59" t="n"/>
      <c r="G13" s="59" t="n"/>
      <c r="H13" s="60" t="n"/>
      <c r="I13" s="60" t="n"/>
      <c r="J13" s="60" t="n"/>
      <c r="K13" s="60" t="n"/>
      <c r="L13" s="60" t="n"/>
      <c r="M13" s="60" t="n"/>
      <c r="N13" s="60" t="n"/>
      <c r="O13" s="60" t="n"/>
      <c r="P13" s="60" t="n"/>
    </row>
    <row r="14">
      <c r="A14" s="59" t="n"/>
      <c r="B14" s="59" t="n"/>
      <c r="C14" s="59" t="n"/>
      <c r="D14" s="59" t="n"/>
      <c r="E14" s="59" t="n"/>
      <c r="F14" s="59" t="n"/>
      <c r="G14" s="59" t="n"/>
      <c r="H14" s="60" t="n"/>
      <c r="I14" s="60" t="n"/>
      <c r="J14" s="60" t="n"/>
      <c r="K14" s="60" t="n"/>
      <c r="L14" s="60" t="n"/>
      <c r="M14" s="60" t="n"/>
      <c r="N14" s="60" t="n"/>
      <c r="O14" s="60" t="n"/>
      <c r="P14" s="60" t="n"/>
    </row>
    <row r="15">
      <c r="A15" s="59" t="n"/>
      <c r="B15" s="59" t="n"/>
      <c r="C15" s="59" t="n"/>
      <c r="D15" s="59" t="n"/>
      <c r="E15" s="59" t="n"/>
      <c r="F15" s="59" t="n"/>
      <c r="G15" s="59" t="n"/>
      <c r="H15" s="60" t="n"/>
      <c r="I15" s="60" t="n"/>
      <c r="J15" s="60" t="n"/>
      <c r="K15" s="60" t="n"/>
      <c r="L15" s="60" t="n"/>
      <c r="M15" s="60" t="n"/>
      <c r="N15" s="60" t="n"/>
      <c r="O15" s="60" t="n"/>
      <c r="P15" s="60" t="n"/>
    </row>
    <row r="16">
      <c r="A16" s="59" t="n"/>
      <c r="B16" s="59" t="n"/>
      <c r="C16" s="59" t="n"/>
      <c r="D16" s="59" t="n"/>
      <c r="E16" s="59" t="n"/>
      <c r="F16" s="59" t="n"/>
      <c r="G16" s="59" t="n"/>
      <c r="H16" s="60" t="n"/>
      <c r="I16" s="60" t="n"/>
      <c r="J16" s="60" t="n"/>
      <c r="K16" s="60" t="n"/>
      <c r="L16" s="60" t="n"/>
      <c r="M16" s="60" t="n"/>
      <c r="N16" s="60" t="n"/>
      <c r="O16" s="60" t="n"/>
      <c r="P16" s="60" t="n"/>
    </row>
    <row r="17">
      <c r="A17" s="101" t="inlineStr">
        <is>
          <t>Volver …</t>
        </is>
      </c>
      <c r="B17" s="59" t="n"/>
      <c r="C17" s="59" t="n"/>
      <c r="D17" s="59" t="n"/>
      <c r="E17" s="59" t="n"/>
      <c r="F17" s="59" t="n"/>
      <c r="G17" s="59" t="n"/>
      <c r="H17" s="102" t="inlineStr">
        <is>
          <t>Volver …</t>
        </is>
      </c>
      <c r="I17" s="60" t="n"/>
      <c r="J17" s="60" t="n"/>
      <c r="K17" s="60" t="n"/>
      <c r="L17" s="60" t="n"/>
      <c r="M17" s="60" t="n"/>
      <c r="N17" s="60" t="n"/>
      <c r="O17" s="60" t="n"/>
      <c r="P17" s="60" t="n"/>
    </row>
    <row r="18">
      <c r="A18" s="59" t="n"/>
      <c r="B18" s="59" t="n"/>
      <c r="C18" s="59" t="n"/>
      <c r="D18" s="59" t="n"/>
      <c r="E18" s="59" t="n"/>
      <c r="F18" s="59" t="n"/>
      <c r="G18" s="59" t="n"/>
      <c r="H18" s="60" t="n"/>
      <c r="I18" s="60" t="n"/>
      <c r="J18" s="60" t="n"/>
      <c r="K18" s="60" t="n"/>
      <c r="L18" s="60" t="n"/>
      <c r="M18" s="60" t="n"/>
      <c r="N18" s="60" t="n"/>
      <c r="O18" s="60" t="n"/>
      <c r="P18" s="60" t="n"/>
    </row>
    <row r="19">
      <c r="A19" s="59" t="n"/>
      <c r="B19" s="59" t="n"/>
      <c r="C19" s="59" t="n"/>
      <c r="D19" s="59" t="n"/>
      <c r="E19" s="59" t="n"/>
      <c r="F19" s="59" t="n"/>
      <c r="G19" s="59" t="n"/>
      <c r="H19" s="60" t="n"/>
      <c r="I19" s="60" t="n"/>
      <c r="J19" s="60" t="n"/>
      <c r="K19" s="60" t="n"/>
      <c r="L19" s="60" t="n"/>
      <c r="M19" s="60" t="n"/>
      <c r="N19" s="60" t="n"/>
      <c r="O19" s="60" t="n"/>
      <c r="P19" s="60" t="n"/>
    </row>
    <row r="20">
      <c r="A20" s="59" t="n"/>
      <c r="B20" s="59" t="n"/>
      <c r="C20" s="59" t="n"/>
      <c r="D20" s="59" t="n"/>
      <c r="E20" s="59" t="n"/>
      <c r="F20" s="59" t="n"/>
      <c r="G20" s="59" t="n"/>
      <c r="H20" s="60" t="n"/>
      <c r="I20" s="60" t="n"/>
      <c r="J20" s="60" t="n"/>
      <c r="K20" s="60" t="n"/>
      <c r="L20" s="60" t="n"/>
      <c r="M20" s="60" t="n"/>
      <c r="N20" s="60" t="n"/>
      <c r="O20" s="60" t="n"/>
      <c r="P20" s="60" t="n"/>
    </row>
  </sheetData>
  <hyperlinks>
    <hyperlink ref="A17" location="Pregunta!A1" display="Volver"/>
    <hyperlink ref="H17" location="Pregunta!A1" display="Volver"/>
  </hyperlinks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9">
    <outlinePr summaryBelow="1" summaryRight="1"/>
    <pageSetUpPr/>
  </sheetPr>
  <dimension ref="A1:D31"/>
  <sheetViews>
    <sheetView zoomScale="80" zoomScaleNormal="80" workbookViewId="0">
      <selection activeCell="C36" sqref="C35:C36"/>
    </sheetView>
  </sheetViews>
  <sheetFormatPr baseColWidth="10" defaultRowHeight="14.4"/>
  <cols>
    <col width="9.88671875" customWidth="1" min="1" max="1"/>
    <col width="41.5546875" bestFit="1" customWidth="1" style="35" min="2" max="2"/>
    <col width="86.109375" customWidth="1" style="34" min="3" max="3"/>
    <col width="56" customWidth="1" style="34" min="4" max="4"/>
  </cols>
  <sheetData>
    <row r="1">
      <c r="A1" s="86" t="inlineStr">
        <is>
          <t>Volver...</t>
        </is>
      </c>
      <c r="B1" s="40" t="inlineStr">
        <is>
          <t>Concepto</t>
        </is>
      </c>
      <c r="C1" s="41" t="inlineStr">
        <is>
          <t>Significado</t>
        </is>
      </c>
      <c r="D1" s="41" t="inlineStr">
        <is>
          <t>Cálculo</t>
        </is>
      </c>
    </row>
    <row r="2">
      <c r="B2" s="45" t="inlineStr">
        <is>
          <t>PI</t>
        </is>
      </c>
      <c r="C2" s="39" t="inlineStr">
        <is>
          <t>Constante matemática que representa la relación entre la circunferencia y el diámetro de un círculo</t>
        </is>
      </c>
      <c r="D2" s="38" t="inlineStr">
        <is>
          <t>PI = C / D</t>
        </is>
      </c>
    </row>
    <row r="3">
      <c r="B3" s="45" t="inlineStr">
        <is>
          <t>ATP</t>
        </is>
      </c>
      <c r="C3" s="39" t="inlineStr">
        <is>
          <t>Molécula que almacena energía en las células</t>
        </is>
      </c>
      <c r="D3" s="38" t="inlineStr">
        <is>
          <t>Síntesis en mitocondrias mediante respiración celular</t>
        </is>
      </c>
    </row>
    <row r="4">
      <c r="B4" s="46" t="n"/>
      <c r="C4" s="43" t="n"/>
      <c r="D4" s="44" t="n"/>
    </row>
    <row r="5">
      <c r="B5" s="46" t="n"/>
      <c r="C5" s="43" t="n"/>
      <c r="D5" s="44" t="n"/>
    </row>
    <row r="6">
      <c r="B6" s="45" t="n"/>
      <c r="C6" s="39" t="n"/>
      <c r="D6" s="38" t="n"/>
    </row>
    <row r="7">
      <c r="B7" s="45" t="n"/>
      <c r="C7" s="39" t="n"/>
      <c r="D7" s="38" t="n"/>
    </row>
    <row r="8">
      <c r="B8" s="45" t="n"/>
      <c r="C8" s="39" t="n"/>
      <c r="D8" s="38" t="n"/>
    </row>
    <row r="9">
      <c r="B9" s="42" t="n"/>
      <c r="C9" s="43" t="n"/>
      <c r="D9" s="44" t="n"/>
    </row>
    <row r="10" ht="15" customHeight="1">
      <c r="B10" s="45" t="n"/>
      <c r="C10" s="43" t="n"/>
      <c r="D10" s="44" t="n"/>
    </row>
    <row r="11" ht="15" customHeight="1">
      <c r="B11" s="37" t="n"/>
      <c r="C11" s="39" t="n"/>
      <c r="D11" s="38" t="n"/>
    </row>
    <row r="12" ht="15" customHeight="1">
      <c r="B12" s="37" t="n"/>
      <c r="C12" s="39" t="n"/>
      <c r="D12" s="38" t="n"/>
    </row>
    <row r="13" ht="15" customHeight="1">
      <c r="B13" s="37" t="n"/>
      <c r="C13" s="39" t="n"/>
      <c r="D13" s="38" t="n"/>
    </row>
    <row r="14" ht="15" customHeight="1">
      <c r="B14" s="37" t="n"/>
      <c r="C14" s="39" t="n"/>
      <c r="D14" s="38" t="n"/>
    </row>
    <row r="15" ht="15" customHeight="1">
      <c r="B15" s="37" t="n"/>
      <c r="C15" s="39" t="n"/>
      <c r="D15" s="38" t="n"/>
    </row>
    <row r="16" ht="15" customHeight="1">
      <c r="B16" s="37" t="n"/>
      <c r="C16" s="39" t="n"/>
      <c r="D16" s="38" t="n"/>
    </row>
    <row r="17" ht="15" customHeight="1">
      <c r="B17" s="37" t="n"/>
      <c r="C17" s="39" t="n"/>
      <c r="D17" s="38" t="n"/>
    </row>
    <row r="18" ht="15" customHeight="1">
      <c r="B18" s="37" t="n"/>
      <c r="C18" s="39" t="n"/>
      <c r="D18" s="38" t="n"/>
    </row>
    <row r="19" ht="15" customHeight="1">
      <c r="B19" s="37" t="n"/>
      <c r="C19" s="39" t="n"/>
      <c r="D19" s="38" t="n"/>
    </row>
    <row r="20">
      <c r="B20" s="37" t="n"/>
      <c r="C20" s="39" t="n"/>
      <c r="D20" s="47" t="n"/>
    </row>
    <row r="21">
      <c r="B21" s="48" t="n"/>
      <c r="C21" s="49" t="n"/>
      <c r="D21" s="51" t="n"/>
    </row>
    <row r="22">
      <c r="B22" s="48" t="n"/>
      <c r="C22" s="49" t="n"/>
      <c r="D22" s="51" t="n"/>
    </row>
    <row r="23">
      <c r="B23" s="48" t="n"/>
      <c r="C23" s="49" t="n"/>
      <c r="D23" s="51" t="n"/>
    </row>
    <row r="24">
      <c r="B24" s="48" t="n"/>
      <c r="C24" s="49" t="n"/>
      <c r="D24" s="51" t="n"/>
    </row>
    <row r="25">
      <c r="B25" s="48" t="n"/>
      <c r="C25" s="49" t="n"/>
      <c r="D25" s="51" t="n"/>
    </row>
    <row r="26">
      <c r="B26" s="48" t="n"/>
      <c r="C26" s="49" t="n"/>
      <c r="D26" s="50" t="n"/>
    </row>
    <row r="27">
      <c r="B27" s="48" t="n"/>
      <c r="C27" s="49" t="n"/>
      <c r="D27" s="50" t="n"/>
    </row>
    <row r="28">
      <c r="B28" s="37" t="n"/>
      <c r="C28" s="39" t="n"/>
      <c r="D28" s="38" t="n"/>
    </row>
    <row r="29">
      <c r="B29" s="42" t="n"/>
      <c r="C29" s="43" t="n"/>
      <c r="D29" s="44" t="n"/>
    </row>
    <row r="31">
      <c r="C31" s="36" t="n"/>
    </row>
  </sheetData>
  <hyperlinks>
    <hyperlink ref="A1" location="Pregunta!A1" display="Volver..."/>
  </hyperlink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B2"/>
  <sheetViews>
    <sheetView workbookViewId="0">
      <selection activeCell="A7" sqref="A7"/>
    </sheetView>
  </sheetViews>
  <sheetFormatPr baseColWidth="10" defaultRowHeight="14.4"/>
  <cols>
    <col width="52.6640625" customWidth="1" min="1" max="1"/>
    <col width="15.5546875" bestFit="1" customWidth="1" min="2" max="2"/>
    <col width="14.5546875" bestFit="1" customWidth="1" min="4" max="4"/>
  </cols>
  <sheetData>
    <row r="1">
      <c r="A1" s="61" t="inlineStr">
        <is>
          <t>Realiza aquí las anotaciones que consideres oportunas</t>
        </is>
      </c>
      <c r="B1" s="103" t="inlineStr">
        <is>
          <t>Volver…</t>
        </is>
      </c>
    </row>
    <row r="2" ht="31.5" customHeight="1">
      <c r="A2" s="34" t="inlineStr">
        <is>
          <t>Continentes:  América del Norte, América del Sur, Europa, Asia, África, Oceanía y Antártida.</t>
        </is>
      </c>
    </row>
  </sheetData>
  <hyperlinks>
    <hyperlink ref="B1" location="Pregunta!A1" display="Volver…"/>
  </hyperlinks>
  <pageMargins left="0.7" right="0.7" top="0.75" bottom="0.75" header="0.3" footer="0.3"/>
  <pageSetup orientation="portrait" paperSize="9"/>
</worksheet>
</file>

<file path=xl/worksheets/sheet8.xml><?xml version="1.0" encoding="utf-8"?>
<worksheet xmlns="http://schemas.openxmlformats.org/spreadsheetml/2006/main">
  <sheetPr codeName="Hoja3">
    <outlinePr summaryBelow="1" summaryRight="1"/>
    <pageSetUpPr/>
  </sheetPr>
  <dimension ref="A1:F14"/>
  <sheetViews>
    <sheetView workbookViewId="0">
      <selection activeCell="B9" sqref="B9"/>
    </sheetView>
  </sheetViews>
  <sheetFormatPr baseColWidth="10" defaultRowHeight="14.4"/>
  <cols>
    <col width="22.44140625" customWidth="1" min="1" max="1"/>
    <col width="13.5546875" bestFit="1" customWidth="1" min="2" max="2"/>
    <col width="15.33203125" bestFit="1" customWidth="1" min="5" max="5"/>
    <col width="20.33203125" bestFit="1" customWidth="1" min="6" max="6"/>
  </cols>
  <sheetData>
    <row r="1" ht="15" customHeight="1" thickBot="1">
      <c r="A1" t="inlineStr">
        <is>
          <t>Total Preguntas:</t>
        </is>
      </c>
      <c r="B1">
        <f>COUNTIF(BD!M:M,"A")+COUNTIF(BD!M:M,"B")+COUNTIF(BD!M:M,"C")+COUNTIF(BD!M:M,"D")</f>
        <v/>
      </c>
      <c r="E1" s="96" t="inlineStr">
        <is>
          <t>REVISADOS</t>
        </is>
      </c>
      <c r="F1" s="96" t="inlineStr">
        <is>
          <t>FALLADOS</t>
        </is>
      </c>
    </row>
    <row r="2" ht="15" customHeight="1" thickBot="1">
      <c r="A2" t="inlineStr">
        <is>
          <t>Pregunta Seleccionada:</t>
        </is>
      </c>
      <c r="B2" t="n">
        <v>2</v>
      </c>
      <c r="E2" s="96" t="inlineStr">
        <is>
          <t>Todos</t>
        </is>
      </c>
      <c r="F2" s="96" t="inlineStr">
        <is>
          <t>Todos</t>
        </is>
      </c>
    </row>
    <row r="3" ht="15" customHeight="1" thickBot="1">
      <c r="A3" t="inlineStr">
        <is>
          <t>Ultima respuesta:</t>
        </is>
      </c>
      <c r="E3" s="96" t="inlineStr">
        <is>
          <t>Sólo no revisados</t>
        </is>
      </c>
      <c r="F3" s="96" t="inlineStr">
        <is>
          <t>No incluir los acertados</t>
        </is>
      </c>
    </row>
    <row r="4">
      <c r="A4" t="inlineStr">
        <is>
          <t>Marcar para revisión:</t>
        </is>
      </c>
      <c r="B4" t="b">
        <v>0</v>
      </c>
    </row>
    <row r="5">
      <c r="A5" t="inlineStr">
        <is>
          <t>Filtrado:</t>
        </is>
      </c>
      <c r="B5">
        <f>SUBTOTAL(103,BD!A:A)-1</f>
        <v/>
      </c>
    </row>
    <row r="6">
      <c r="A6" t="inlineStr">
        <is>
          <t>Hora inicio</t>
        </is>
      </c>
      <c r="B6" s="56" t="n">
        <v>46128.88701388889</v>
      </c>
    </row>
    <row r="7">
      <c r="A7" t="inlineStr">
        <is>
          <t>Versión:</t>
        </is>
      </c>
      <c r="B7" t="inlineStr">
        <is>
          <t>1.0.0</t>
        </is>
      </c>
    </row>
    <row r="8">
      <c r="A8" t="inlineStr">
        <is>
          <t>Password:</t>
        </is>
      </c>
      <c r="B8" t="inlineStr">
        <is>
          <t>por-favor-respeta-este-trabajo</t>
        </is>
      </c>
    </row>
    <row r="9">
      <c r="A9" t="inlineStr">
        <is>
          <t>Color Tiempo</t>
        </is>
      </c>
      <c r="B9" t="n">
        <v>1</v>
      </c>
    </row>
    <row r="10" ht="15" customHeight="1" thickBot="1"/>
    <row r="11">
      <c r="A11" s="12" t="inlineStr">
        <is>
          <t>Orden de las respuestas:</t>
        </is>
      </c>
      <c r="B11" s="13" t="n">
        <v>4</v>
      </c>
    </row>
    <row r="12">
      <c r="A12" s="14" t="n"/>
      <c r="B12" s="15" t="n">
        <v>2</v>
      </c>
    </row>
    <row r="13">
      <c r="A13" s="14" t="n"/>
      <c r="B13" s="15" t="n">
        <v>3</v>
      </c>
    </row>
    <row r="14" ht="15" customHeight="1" thickBot="1">
      <c r="A14" s="16" t="n"/>
      <c r="B14" s="17" t="n">
        <v>1</v>
      </c>
    </row>
  </sheetData>
  <pageMargins left="0.7" right="0.7" top="0.75" bottom="0.75" header="0.3" footer="0.3"/>
  <pageSetup orientation="portrait" paperSize="9" horizontalDpi="200" verticalDpi="200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B99"/>
  <sheetViews>
    <sheetView workbookViewId="0">
      <selection activeCell="A43" sqref="A43"/>
    </sheetView>
  </sheetViews>
  <sheetFormatPr baseColWidth="10" defaultColWidth="8.88671875" defaultRowHeight="14.4"/>
  <cols>
    <col width="7.33203125" customWidth="1" min="1" max="1"/>
  </cols>
  <sheetData>
    <row r="1" ht="34.8" customHeight="1">
      <c r="A1" s="64" t="inlineStr">
        <is>
          <t>ℹ️  ACERCA DE…</t>
        </is>
      </c>
    </row>
    <row r="2" ht="27" customHeight="1">
      <c r="A2" s="65" t="inlineStr">
        <is>
          <t>Exam‑Excel by Naidel</t>
        </is>
      </c>
    </row>
    <row r="3">
      <c r="A3" s="63" t="inlineStr">
        <is>
          <t>Sistema de entrenamiento para exámenes en Microsoft Excel</t>
        </is>
      </c>
    </row>
    <row r="4">
      <c r="A4" s="79" t="n"/>
    </row>
    <row r="5" ht="20.4" customHeight="1">
      <c r="A5" s="68" t="inlineStr">
        <is>
          <t>🔖 Información general</t>
        </is>
      </c>
    </row>
    <row r="6">
      <c r="A6" s="62" t="n"/>
    </row>
    <row r="7">
      <c r="B7" s="80" t="inlineStr">
        <is>
          <t>Nombre del proyecto</t>
        </is>
      </c>
    </row>
    <row r="8">
      <c r="B8" s="63" t="inlineStr">
        <is>
          <t>Exam‑Excel by Naidel</t>
        </is>
      </c>
    </row>
    <row r="9">
      <c r="B9" s="62" t="n"/>
    </row>
    <row r="10">
      <c r="B10" s="80" t="inlineStr">
        <is>
          <t>Descripción</t>
        </is>
      </c>
    </row>
    <row r="11">
      <c r="B11" s="63" t="inlineStr">
        <is>
          <t>Exam‑Excel es un sistema de entrenamiento y autoevaluación para exámenes tipo test desarrollado íntegramente en Microsoft Excel con VBA.</t>
        </is>
      </c>
    </row>
    <row r="12">
      <c r="B12" s="63" t="inlineStr">
        <is>
          <t>Permite practicar preguntas, simular exámenes reales, analizar fallos y reforzar el estudio mediante estadísticas y retroalimentación detallada.</t>
        </is>
      </c>
    </row>
    <row r="13">
      <c r="B13" s="63" t="inlineStr">
        <is>
          <t>Está diseñado para certificaciones, oposiciones y estudio técnico, priorizando la reutilización, la flexibilidad y la transparencia del código.</t>
        </is>
      </c>
    </row>
    <row r="14">
      <c r="A14" s="79" t="n"/>
    </row>
    <row r="15" ht="20.4" customHeight="1">
      <c r="A15" s="68" t="inlineStr">
        <is>
          <t>🏷️ Versión</t>
        </is>
      </c>
    </row>
    <row r="16">
      <c r="A16" s="62" t="n"/>
    </row>
    <row r="17">
      <c r="B17" s="80">
        <f>_xlfn.CONCAT("Versión v.",Sesion!B7)</f>
        <v/>
      </c>
    </row>
    <row r="18">
      <c r="B18" s="80" t="inlineStr">
        <is>
          <t>Estado: Estable</t>
        </is>
      </c>
    </row>
    <row r="19">
      <c r="B19" s="80" t="inlineStr">
        <is>
          <t>Fecha de build: 2026‑04</t>
        </is>
      </c>
    </row>
    <row r="20">
      <c r="B20" s="80" t="inlineStr">
        <is>
          <t>Plataforma: Microsoft Excel (Desktop)</t>
        </is>
      </c>
    </row>
    <row r="22" ht="20.4" customHeight="1">
      <c r="A22" s="68" t="inlineStr">
        <is>
          <t>👤 Autor</t>
        </is>
      </c>
    </row>
    <row r="23">
      <c r="A23" s="62" t="n"/>
    </row>
    <row r="24">
      <c r="B24" s="80" t="inlineStr">
        <is>
          <t>Autor: Antonio Teodomiro Márquez Muñoz</t>
        </is>
      </c>
    </row>
    <row r="25">
      <c r="B25" s="80" t="inlineStr">
        <is>
          <t>Alias: Naidel</t>
        </is>
      </c>
    </row>
    <row r="26">
      <c r="B26" s="80" t="inlineStr">
        <is>
          <t>Contacto:</t>
        </is>
      </c>
    </row>
    <row r="27">
      <c r="B27" s="83" t="inlineStr">
        <is>
          <t>📧 atmarquez@gmail.com</t>
        </is>
      </c>
    </row>
    <row r="28">
      <c r="B28" s="80" t="inlineStr">
        <is>
          <t>Exam‑Excel es software libre. Si te resulta útil, puedes apoyar su desarrollo con una donación voluntaria.</t>
        </is>
      </c>
    </row>
    <row r="29">
      <c r="B29" s="86" t="inlineStr">
        <is>
          <t>❤️ Donar con PayPal</t>
        </is>
      </c>
    </row>
    <row r="31" ht="20.4" customHeight="1">
      <c r="A31" s="68" t="inlineStr">
        <is>
          <t>© Copyright</t>
        </is>
      </c>
    </row>
    <row r="32">
      <c r="A32" s="62" t="n"/>
    </row>
    <row r="33">
      <c r="B33" s="63" t="inlineStr">
        <is>
          <t>Copyright © 2024‑2026</t>
        </is>
      </c>
    </row>
    <row r="34">
      <c r="B34" s="63" t="inlineStr">
        <is>
          <t>Antonio Teodomiro Márquez Muñoz (Naidel)</t>
        </is>
      </c>
    </row>
    <row r="36" ht="20.4" customHeight="1">
      <c r="A36" s="68" t="inlineStr">
        <is>
          <t>🔗 Enlaces útiles</t>
        </is>
      </c>
    </row>
    <row r="37">
      <c r="A37" s="66" t="n"/>
    </row>
    <row r="38">
      <c r="B38" s="85" t="inlineStr">
        <is>
          <t>🌐 Página del Proyecto</t>
        </is>
      </c>
    </row>
    <row r="39">
      <c r="B39" s="85" t="inlineStr">
        <is>
          <t>📘 Repositorio</t>
        </is>
      </c>
    </row>
    <row r="40">
      <c r="B40" s="85" t="inlineStr">
        <is>
          <t>🐞 Reportar errores / sugerencias</t>
        </is>
      </c>
    </row>
    <row r="41">
      <c r="B41" s="85" t="inlineStr">
        <is>
          <t>📘 Documentación</t>
        </is>
      </c>
    </row>
    <row r="42">
      <c r="B42" s="85" t="inlineStr">
        <is>
          <t>📄 Texto oficial de la licencia GPLv3</t>
        </is>
      </c>
    </row>
    <row r="44" ht="20.4" customHeight="1">
      <c r="A44" s="68" t="inlineStr">
        <is>
          <t>⚖️ Licencia</t>
        </is>
      </c>
    </row>
    <row r="45">
      <c r="A45" s="62" t="n"/>
    </row>
    <row r="46">
      <c r="B46" s="63" t="inlineStr">
        <is>
          <t>Este programa es software libre, distribuido bajo los términos de la</t>
        </is>
      </c>
    </row>
    <row r="47">
      <c r="B47" s="80" t="inlineStr">
        <is>
          <t>GNU General Public License, versión 3 (GPLv3).</t>
        </is>
      </c>
    </row>
    <row r="48">
      <c r="B48" s="62" t="n"/>
    </row>
    <row r="49">
      <c r="B49" s="63" t="inlineStr">
        <is>
          <t>Puedes:</t>
        </is>
      </c>
    </row>
    <row r="50">
      <c r="B50" s="67" t="inlineStr">
        <is>
          <t>✅ Usarlo para cualquier propósito</t>
        </is>
      </c>
    </row>
    <row r="51">
      <c r="B51" s="67" t="inlineStr">
        <is>
          <t>✅ Estudiar cómo funciona</t>
        </is>
      </c>
    </row>
    <row r="52">
      <c r="B52" s="67" t="inlineStr">
        <is>
          <t>✅ Modificarlo</t>
        </is>
      </c>
    </row>
    <row r="53">
      <c r="B53" s="67" t="inlineStr">
        <is>
          <t>✅ Redistribuirlo</t>
        </is>
      </c>
    </row>
    <row r="55">
      <c r="B55" s="63" t="inlineStr">
        <is>
          <t>Siempre que respetes los términos de dicha licencia.</t>
        </is>
      </c>
    </row>
    <row r="57" ht="27" customHeight="1">
      <c r="A57" s="84" t="inlineStr">
        <is>
          <t>⚠️ Aviso importante:</t>
        </is>
      </c>
      <c r="B57" s="65" t="n"/>
    </row>
    <row r="59">
      <c r="B59" s="81" t="inlineStr">
        <is>
          <t>Este programa es software libre, distribuido bajo la licencia GNU General Public License versión 3 (GPLv3).Puedes usarlo, estudiarlo, modificarlo y redistribuirlo bajo los términos de dicha licencia.</t>
        </is>
      </c>
    </row>
    <row r="60">
      <c r="B60" s="81" t="inlineStr">
        <is>
          <t>Este programa se distribuye con la esperanza de que sea útil, pero SIN NINGUNA GARANTÍA; sin siquiera la garantía implícita de COMERCIABILIDAD o IDONEIDAD PARA UN PROPÓSITO PARTICULAR.Consulta el texto completo de la licencia usando las acciones de abajo.</t>
        </is>
      </c>
    </row>
    <row r="61">
      <c r="B61" s="81" t="inlineStr">
        <is>
          <t>This program is free software: you can redistribute it and/or modify it under the terms of the GNU General Public License as published by the Free Software Foundation, either version 3 of the License, or (at your option) any later version.</t>
        </is>
      </c>
    </row>
    <row r="62">
      <c r="B62" s="69" t="inlineStr">
        <is>
          <t>This program is distributed in the hope that it will be useful, but WITHOUT ANY WARRANTY; without even the implied warranty of MERCHANTABILITY or FITNESS FOR A PARTICULAR PURPOSE. See the GNU General Public License for more details.</t>
        </is>
      </c>
    </row>
    <row r="64" ht="20.4" customHeight="1">
      <c r="A64" s="68" t="inlineStr">
        <is>
          <t>🧩 Componentes principales del sistema</t>
        </is>
      </c>
    </row>
    <row r="65">
      <c r="A65" s="66" t="n"/>
    </row>
    <row r="66">
      <c r="B66" s="70" t="inlineStr">
        <is>
          <t>Hoja Principal</t>
        </is>
      </c>
    </row>
    <row r="67">
      <c r="B67" s="67" t="inlineStr">
        <is>
          <t>Inicio de sesión, filtros y control del examen</t>
        </is>
      </c>
    </row>
    <row r="68">
      <c r="B68" s="66" t="n"/>
    </row>
    <row r="69">
      <c r="B69" s="70" t="inlineStr">
        <is>
          <t>Hoja Pregunta</t>
        </is>
      </c>
    </row>
    <row r="70">
      <c r="B70" s="67" t="inlineStr">
        <is>
          <t>Interfaz principal de preguntas y respuestas</t>
        </is>
      </c>
    </row>
    <row r="71">
      <c r="B71" s="66" t="n"/>
    </row>
    <row r="72">
      <c r="B72" s="70" t="inlineStr">
        <is>
          <t>Base de Datos (BD)</t>
        </is>
      </c>
    </row>
    <row r="73">
      <c r="B73" s="67" t="inlineStr">
        <is>
          <t>Repositorio de preguntas, respuestas y estadísticas</t>
        </is>
      </c>
    </row>
    <row r="74">
      <c r="B74" s="66" t="n"/>
    </row>
    <row r="75">
      <c r="B75" s="70" t="inlineStr">
        <is>
          <t>Hoja Sesion</t>
        </is>
      </c>
    </row>
    <row r="76">
      <c r="B76" s="67" t="inlineStr">
        <is>
          <t>Gestión interna del estado del examen (oculta)</t>
        </is>
      </c>
    </row>
    <row r="77">
      <c r="B77" s="66" t="n"/>
    </row>
    <row r="78">
      <c r="B78" s="70" t="inlineStr">
        <is>
          <t>Glosario</t>
        </is>
      </c>
    </row>
    <row r="79">
      <c r="B79" s="67" t="inlineStr">
        <is>
          <t>Términos técnicos y siglas</t>
        </is>
      </c>
    </row>
    <row r="80">
      <c r="B80" s="66" t="n"/>
    </row>
    <row r="81">
      <c r="B81" s="70" t="inlineStr">
        <is>
          <t>Gráficos / Figuras</t>
        </is>
      </c>
    </row>
    <row r="82">
      <c r="B82" s="67" t="inlineStr">
        <is>
          <t>Imágenes y elementos visuales referenciados</t>
        </is>
      </c>
    </row>
    <row r="84" ht="20.4" customHeight="1">
      <c r="A84" s="68" t="inlineStr">
        <is>
          <t>💡 Filosofía del proyecto</t>
        </is>
      </c>
    </row>
    <row r="85">
      <c r="A85" s="62" t="n"/>
    </row>
    <row r="86">
      <c r="B86" s="63" t="inlineStr">
        <is>
          <t>Exam‑Excel nace como una herramienta personal que ha sido utilizada con éxito en:</t>
        </is>
      </c>
    </row>
    <row r="87">
      <c r="B87" s="67" t="inlineStr">
        <is>
          <t>Certificaciones técnicas (como CIA/COSO/CISA/CDPSE/CISM/CRISC)</t>
        </is>
      </c>
    </row>
    <row r="88">
      <c r="B88" s="67" t="inlineStr">
        <is>
          <t>Procesos de oposición</t>
        </is>
      </c>
    </row>
    <row r="89">
      <c r="B89" s="67" t="inlineStr">
        <is>
          <t>Estudio auto‑dirigido</t>
        </is>
      </c>
    </row>
    <row r="91">
      <c r="B91" s="63" t="inlineStr">
        <is>
          <t>El objetivo de liberar el proyecto bajo GPLv3 es:</t>
        </is>
      </c>
    </row>
    <row r="92">
      <c r="B92" s="67" t="inlineStr">
        <is>
          <t>Compartir una herramienta útil</t>
        </is>
      </c>
    </row>
    <row r="93">
      <c r="B93" s="67" t="inlineStr">
        <is>
          <t>Facilitar su adaptación a distintos exámenes</t>
        </is>
      </c>
    </row>
    <row r="94">
      <c r="B94" s="67" t="inlineStr">
        <is>
          <t>Permitir que otros la estudien y mejoren</t>
        </is>
      </c>
    </row>
    <row r="95">
      <c r="B95" s="67" t="inlineStr">
        <is>
          <t>Mantener un enfoque honesto y transparente</t>
        </is>
      </c>
    </row>
    <row r="97" ht="27" customHeight="1">
      <c r="A97" s="65" t="inlineStr">
        <is>
          <t>✅ Agradecimientos</t>
        </is>
      </c>
    </row>
    <row r="98">
      <c r="A98" s="62" t="n"/>
    </row>
    <row r="99">
      <c r="B99" s="63" t="inlineStr">
        <is>
          <t>Gracias a todas las comunidades de software libre y a las personas que comparten conocimiento, experiencias y herramientas que hacen posible proyectos como este.</t>
        </is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jtGRvnhBzbf+Y3NPxvEWw==" formatRows="1" sort="1" spinCount="100000" hashValue="Y+xqysKYoCDqWh2mIWjT/T7k2sEx6SI3Hw9eNmUn07pmjh4Tg1UW6HfE18vAPSwTJ/KQUqx4FGDMTw+8PHqJUQ=="/>
  <hyperlinks>
    <hyperlink xmlns:r="http://schemas.openxmlformats.org/officeDocument/2006/relationships" ref="B27" r:id="rId1"/>
    <hyperlink xmlns:r="http://schemas.openxmlformats.org/officeDocument/2006/relationships" ref="B29" display="https://paypal.me/atmarquez" r:id="rId2"/>
    <hyperlink xmlns:r="http://schemas.openxmlformats.org/officeDocument/2006/relationships" ref="B38" r:id="rId3"/>
    <hyperlink xmlns:r="http://schemas.openxmlformats.org/officeDocument/2006/relationships" ref="B39" display="Repositorio" r:id="rId4"/>
    <hyperlink xmlns:r="http://schemas.openxmlformats.org/officeDocument/2006/relationships" ref="B40" r:id="rId5"/>
    <hyperlink xmlns:r="http://schemas.openxmlformats.org/officeDocument/2006/relationships" ref="B41" r:id="rId6"/>
    <hyperlink xmlns:r="http://schemas.openxmlformats.org/officeDocument/2006/relationships" ref="B42" r:id="rId7"/>
  </hyperlink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Hoja10">
    <outlinePr summaryBelow="1" summaryRight="1"/>
    <pageSetUpPr/>
  </sheetPr>
  <dimension ref="A1:A674"/>
  <sheetViews>
    <sheetView workbookViewId="0">
      <selection activeCell="A1" sqref="A1"/>
    </sheetView>
  </sheetViews>
  <sheetFormatPr baseColWidth="10" defaultRowHeight="14.4"/>
  <cols>
    <col width="64.5546875" customWidth="1" min="1" max="1"/>
  </cols>
  <sheetData>
    <row r="1">
      <c r="A1" t="inlineStr">
        <is>
          <t xml:space="preserve">                    GNU GENERAL PUBLIC LICENSE</t>
        </is>
      </c>
    </row>
    <row r="2">
      <c r="A2" t="inlineStr">
        <is>
          <t xml:space="preserve">                       Version 3, 29 June 2007</t>
        </is>
      </c>
    </row>
    <row r="4">
      <c r="A4" t="inlineStr">
        <is>
          <t xml:space="preserve"> Copyright (C) 2007 Free Software Foundation, Inc. &lt;https://fsf.org/&gt;</t>
        </is>
      </c>
    </row>
    <row r="5">
      <c r="A5" t="inlineStr">
        <is>
          <t xml:space="preserve"> Everyone is permitted to copy and distribute verbatim copies</t>
        </is>
      </c>
    </row>
    <row r="6">
      <c r="A6" t="inlineStr">
        <is>
          <t xml:space="preserve"> of this license document, but changing it is not allowed.</t>
        </is>
      </c>
    </row>
    <row r="8">
      <c r="A8" t="inlineStr">
        <is>
          <t xml:space="preserve">                            Preamble</t>
        </is>
      </c>
    </row>
    <row r="10">
      <c r="A10" t="inlineStr">
        <is>
          <t xml:space="preserve">  The GNU General Public License is a free, copyleft license for</t>
        </is>
      </c>
    </row>
    <row r="11">
      <c r="A11" t="inlineStr">
        <is>
          <t>software and other kinds of works.</t>
        </is>
      </c>
    </row>
    <row r="13">
      <c r="A13" t="inlineStr">
        <is>
          <t xml:space="preserve">  The licenses for most software and other practical works are designed</t>
        </is>
      </c>
    </row>
    <row r="14">
      <c r="A14" t="inlineStr">
        <is>
          <t>to take away your freedom to share and change the works.  By contrast,</t>
        </is>
      </c>
    </row>
    <row r="15">
      <c r="A15" t="inlineStr">
        <is>
          <t>the GNU General Public License is intended to guarantee your freedom to</t>
        </is>
      </c>
    </row>
    <row r="16">
      <c r="A16" t="inlineStr">
        <is>
          <t>share and change all versions of a program--to make sure it remains free</t>
        </is>
      </c>
    </row>
    <row r="17">
      <c r="A17" t="inlineStr">
        <is>
          <t>software for all its users.  We, the Free Software Foundation, use the</t>
        </is>
      </c>
    </row>
    <row r="18">
      <c r="A18" t="inlineStr">
        <is>
          <t>GNU General Public License for most of our software; it applies also to</t>
        </is>
      </c>
    </row>
    <row r="19">
      <c r="A19" t="inlineStr">
        <is>
          <t>any other work released this way by its authors.  You can apply it to</t>
        </is>
      </c>
    </row>
    <row r="20">
      <c r="A20" t="inlineStr">
        <is>
          <t>your programs, too.</t>
        </is>
      </c>
    </row>
    <row r="22">
      <c r="A22" t="inlineStr">
        <is>
          <t xml:space="preserve">  When we speak of free software, we are referring to freedom, not</t>
        </is>
      </c>
    </row>
    <row r="23">
      <c r="A23" t="inlineStr">
        <is>
          <t>price.  Our General Public Licenses are designed to make sure that you</t>
        </is>
      </c>
    </row>
    <row r="24">
      <c r="A24" t="inlineStr">
        <is>
          <t>have the freedom to distribute copies of free software (and charge for</t>
        </is>
      </c>
    </row>
    <row r="25">
      <c r="A25" t="inlineStr">
        <is>
          <t>them if you wish), that you receive source code or can get it if you</t>
        </is>
      </c>
    </row>
    <row r="26">
      <c r="A26" t="inlineStr">
        <is>
          <t>want it, that you can change the software or use pieces of it in new</t>
        </is>
      </c>
    </row>
    <row r="27">
      <c r="A27" t="inlineStr">
        <is>
          <t>free programs, and that you know you can do these things.</t>
        </is>
      </c>
    </row>
    <row r="29">
      <c r="A29" t="inlineStr">
        <is>
          <t xml:space="preserve">  To protect your rights, we need to prevent others from denying you</t>
        </is>
      </c>
    </row>
    <row r="30">
      <c r="A30" t="inlineStr">
        <is>
          <t>these rights or asking you to surrender the rights.  Therefore, you have</t>
        </is>
      </c>
    </row>
    <row r="31">
      <c r="A31" t="inlineStr">
        <is>
          <t>certain responsibilities if you distribute copies of the software, or if</t>
        </is>
      </c>
    </row>
    <row r="32">
      <c r="A32" t="inlineStr">
        <is>
          <t>you modify it: responsibilities to respect the freedom of others.</t>
        </is>
      </c>
    </row>
    <row r="34">
      <c r="A34" t="inlineStr">
        <is>
          <t xml:space="preserve">  For example, if you distribute copies of such a program, whether</t>
        </is>
      </c>
    </row>
    <row r="35">
      <c r="A35" t="inlineStr">
        <is>
          <t>gratis or for a fee, you must pass on to the recipients the same</t>
        </is>
      </c>
    </row>
    <row r="36">
      <c r="A36" t="inlineStr">
        <is>
          <t>freedoms that you received.  You must make sure that they, too, receive</t>
        </is>
      </c>
    </row>
    <row r="37">
      <c r="A37" t="inlineStr">
        <is>
          <t>or can get the source code.  And you must show them these terms so they</t>
        </is>
      </c>
    </row>
    <row r="38">
      <c r="A38" t="inlineStr">
        <is>
          <t>know their rights.</t>
        </is>
      </c>
    </row>
    <row r="40">
      <c r="A40" t="inlineStr">
        <is>
          <t xml:space="preserve">  Developers that use the GNU GPL protect your rights with two steps:</t>
        </is>
      </c>
    </row>
    <row r="41">
      <c r="A41" t="inlineStr">
        <is>
          <t>(1) assert copyright on the software, and (2) offer you this License</t>
        </is>
      </c>
    </row>
    <row r="42">
      <c r="A42" t="inlineStr">
        <is>
          <t>giving you legal permission to copy, distribute and/or modify it.</t>
        </is>
      </c>
    </row>
    <row r="44">
      <c r="A44" t="inlineStr">
        <is>
          <t xml:space="preserve">  For the developers' and authors' protection, the GPL clearly explains</t>
        </is>
      </c>
    </row>
    <row r="45">
      <c r="A45" t="inlineStr">
        <is>
          <t>that there is no warranty for this free software.  For both users' and</t>
        </is>
      </c>
    </row>
    <row r="46">
      <c r="A46" t="inlineStr">
        <is>
          <t>authors' sake, the GPL requires that modified versions be marked as</t>
        </is>
      </c>
    </row>
    <row r="47">
      <c r="A47" t="inlineStr">
        <is>
          <t>changed, so that their problems will not be attributed erroneously to</t>
        </is>
      </c>
    </row>
    <row r="48">
      <c r="A48" t="inlineStr">
        <is>
          <t>authors of previous versions.</t>
        </is>
      </c>
    </row>
    <row r="50">
      <c r="A50" t="inlineStr">
        <is>
          <t xml:space="preserve">  Some devices are designed to deny users access to install or run</t>
        </is>
      </c>
    </row>
    <row r="51">
      <c r="A51" t="inlineStr">
        <is>
          <t>modified versions of the software inside them, although the manufacturer</t>
        </is>
      </c>
    </row>
    <row r="52">
      <c r="A52" t="inlineStr">
        <is>
          <t>can do so.  This is fundamentally incompatible with the aim of</t>
        </is>
      </c>
    </row>
    <row r="53">
      <c r="A53" t="inlineStr">
        <is>
          <t>protecting users' freedom to change the software.  The systematic</t>
        </is>
      </c>
    </row>
    <row r="54">
      <c r="A54" t="inlineStr">
        <is>
          <t>pattern of such abuse occurs in the area of products for individuals to</t>
        </is>
      </c>
    </row>
    <row r="55">
      <c r="A55" t="inlineStr">
        <is>
          <t>use, which is precisely where it is most unacceptable.  Therefore, we</t>
        </is>
      </c>
    </row>
    <row r="56">
      <c r="A56" t="inlineStr">
        <is>
          <t>have designed this version of the GPL to prohibit the practice for those</t>
        </is>
      </c>
    </row>
    <row r="57">
      <c r="A57" t="inlineStr">
        <is>
          <t>products.  If such problems arise substantially in other domains, we</t>
        </is>
      </c>
    </row>
    <row r="58">
      <c r="A58" t="inlineStr">
        <is>
          <t>stand ready to extend this provision to those domains in future versions</t>
        </is>
      </c>
    </row>
    <row r="59">
      <c r="A59" t="inlineStr">
        <is>
          <t>of the GPL, as needed to protect the freedom of users.</t>
        </is>
      </c>
    </row>
    <row r="61">
      <c r="A61" t="inlineStr">
        <is>
          <t xml:space="preserve">  Finally, every program is threatened constantly by software patents.</t>
        </is>
      </c>
    </row>
    <row r="62">
      <c r="A62" t="inlineStr">
        <is>
          <t>States should not allow patents to restrict development and use of</t>
        </is>
      </c>
    </row>
    <row r="63">
      <c r="A63" t="inlineStr">
        <is>
          <t>software on general-purpose computers, but in those that do, we wish to</t>
        </is>
      </c>
    </row>
    <row r="64">
      <c r="A64" t="inlineStr">
        <is>
          <t>avoid the special danger that patents applied to a free program could</t>
        </is>
      </c>
    </row>
    <row r="65">
      <c r="A65" t="inlineStr">
        <is>
          <t>make it effectively proprietary.  To prevent this, the GPL assures that</t>
        </is>
      </c>
    </row>
    <row r="66">
      <c r="A66" t="inlineStr">
        <is>
          <t>patents cannot be used to render the program non-free.</t>
        </is>
      </c>
    </row>
    <row r="68">
      <c r="A68" t="inlineStr">
        <is>
          <t xml:space="preserve">  The precise terms and conditions for copying, distribution and</t>
        </is>
      </c>
    </row>
    <row r="69">
      <c r="A69" t="inlineStr">
        <is>
          <t>modification follow.</t>
        </is>
      </c>
    </row>
    <row r="71">
      <c r="A71" t="inlineStr">
        <is>
          <t xml:space="preserve">                       TERMS AND CONDITIONS</t>
        </is>
      </c>
    </row>
    <row r="73">
      <c r="A73" t="inlineStr">
        <is>
          <t xml:space="preserve">  0. Definitions.</t>
        </is>
      </c>
    </row>
    <row r="75">
      <c r="A75" t="inlineStr">
        <is>
          <t xml:space="preserve">  "This License" refers to version 3 of the GNU General Public License.</t>
        </is>
      </c>
    </row>
    <row r="77">
      <c r="A77" t="inlineStr">
        <is>
          <t xml:space="preserve">  "Copyright" also means copyright-like laws that apply to other kinds of</t>
        </is>
      </c>
    </row>
    <row r="78">
      <c r="A78" t="inlineStr">
        <is>
          <t>works, such as semiconductor masks.</t>
        </is>
      </c>
    </row>
    <row r="80">
      <c r="A80" t="inlineStr">
        <is>
          <t xml:space="preserve">  "The Program" refers to any copyrightable work licensed under this</t>
        </is>
      </c>
    </row>
    <row r="81">
      <c r="A81" t="inlineStr">
        <is>
          <t>License.  Each licensee is addressed as "you".  "Licensees" and</t>
        </is>
      </c>
    </row>
    <row r="82">
      <c r="A82" t="inlineStr">
        <is>
          <t>recipients may be individuals or organizations.</t>
        </is>
      </c>
    </row>
    <row r="84">
      <c r="A84" t="inlineStr">
        <is>
          <t xml:space="preserve">  To "modify" a work means to copy from or adapt all or part of the work</t>
        </is>
      </c>
    </row>
    <row r="85">
      <c r="A85" t="inlineStr">
        <is>
          <t>in a fashion requiring copyright permission, other than the making of an</t>
        </is>
      </c>
    </row>
    <row r="86">
      <c r="A86" t="inlineStr">
        <is>
          <t>exact copy.  The resulting work is called a "modified version" of the</t>
        </is>
      </c>
    </row>
    <row r="87">
      <c r="A87" t="inlineStr">
        <is>
          <t>earlier work or a work "based on" the earlier work.</t>
        </is>
      </c>
    </row>
    <row r="89">
      <c r="A89" t="inlineStr">
        <is>
          <t xml:space="preserve">  A "covered work" means either the unmodified Program or a work based</t>
        </is>
      </c>
    </row>
    <row r="90">
      <c r="A90" t="inlineStr">
        <is>
          <t>on the Program.</t>
        </is>
      </c>
    </row>
    <row r="92">
      <c r="A92" t="inlineStr">
        <is>
          <t xml:space="preserve">  To "propagate" a work means to do anything with it that, without</t>
        </is>
      </c>
    </row>
    <row r="93">
      <c r="A93" t="inlineStr">
        <is>
          <t>permission, would make you directly or secondarily liable for</t>
        </is>
      </c>
    </row>
    <row r="94">
      <c r="A94" t="inlineStr">
        <is>
          <t>infringement under applicable copyright law, except executing it on a</t>
        </is>
      </c>
    </row>
    <row r="95">
      <c r="A95" t="inlineStr">
        <is>
          <t>computer or modifying a private copy.  Propagation includes copying,</t>
        </is>
      </c>
    </row>
    <row r="96">
      <c r="A96" t="inlineStr">
        <is>
          <t>distribution (with or without modification), making available to the</t>
        </is>
      </c>
    </row>
    <row r="97">
      <c r="A97" t="inlineStr">
        <is>
          <t>public, and in some countries other activities as well.</t>
        </is>
      </c>
    </row>
    <row r="99">
      <c r="A99" t="inlineStr">
        <is>
          <t xml:space="preserve">  To "convey" a work means any kind of propagation that enables other</t>
        </is>
      </c>
    </row>
    <row r="100">
      <c r="A100" t="inlineStr">
        <is>
          <t>parties to make or receive copies.  Mere interaction with a user through</t>
        </is>
      </c>
    </row>
    <row r="101">
      <c r="A101" t="inlineStr">
        <is>
          <t>a computer network, with no transfer of a copy, is not conveying.</t>
        </is>
      </c>
    </row>
    <row r="103">
      <c r="A103" t="inlineStr">
        <is>
          <t xml:space="preserve">  An interactive user interface displays "Appropriate Legal Notices"</t>
        </is>
      </c>
    </row>
    <row r="104">
      <c r="A104" t="inlineStr">
        <is>
          <t>to the extent that it includes a convenient and prominently visible</t>
        </is>
      </c>
    </row>
    <row r="105">
      <c r="A105" t="inlineStr">
        <is>
          <t>feature that (1) displays an appropriate copyright notice, and (2)</t>
        </is>
      </c>
    </row>
    <row r="106">
      <c r="A106" t="inlineStr">
        <is>
          <t>tells the user that there is no warranty for the work (except to the</t>
        </is>
      </c>
    </row>
    <row r="107">
      <c r="A107" t="inlineStr">
        <is>
          <t>extent that warranties are provided), that licensees may convey the</t>
        </is>
      </c>
    </row>
    <row r="108">
      <c r="A108" t="inlineStr">
        <is>
          <t>work under this License, and how to view a copy of this License.  If</t>
        </is>
      </c>
    </row>
    <row r="109">
      <c r="A109" t="inlineStr">
        <is>
          <t>the interface presents a list of user commands or options, such as a</t>
        </is>
      </c>
    </row>
    <row r="110">
      <c r="A110" t="inlineStr">
        <is>
          <t>menu, a prominent item in the list meets this criterion.</t>
        </is>
      </c>
    </row>
    <row r="112">
      <c r="A112" t="inlineStr">
        <is>
          <t xml:space="preserve">  1. Source Code.</t>
        </is>
      </c>
    </row>
    <row r="114">
      <c r="A114" t="inlineStr">
        <is>
          <t xml:space="preserve">  The "source code" for a work means the preferred form of the work</t>
        </is>
      </c>
    </row>
    <row r="115">
      <c r="A115" t="inlineStr">
        <is>
          <t>for making modifications to it.  "Object code" means any non-source</t>
        </is>
      </c>
    </row>
    <row r="116">
      <c r="A116" t="inlineStr">
        <is>
          <t>form of a work.</t>
        </is>
      </c>
    </row>
    <row r="118">
      <c r="A118" t="inlineStr">
        <is>
          <t xml:space="preserve">  A "Standard Interface" means an interface that either is an official</t>
        </is>
      </c>
    </row>
    <row r="119">
      <c r="A119" t="inlineStr">
        <is>
          <t>standard defined by a recognized standards body, or, in the case of</t>
        </is>
      </c>
    </row>
    <row r="120">
      <c r="A120" t="inlineStr">
        <is>
          <t>interfaces specified for a particular programming language, one that</t>
        </is>
      </c>
    </row>
    <row r="121">
      <c r="A121" t="inlineStr">
        <is>
          <t>is widely used among developers working in that language.</t>
        </is>
      </c>
    </row>
    <row r="123">
      <c r="A123" t="inlineStr">
        <is>
          <t xml:space="preserve">  The "System Libraries" of an executable work include anything, other</t>
        </is>
      </c>
    </row>
    <row r="124">
      <c r="A124" t="inlineStr">
        <is>
          <t>than the work as a whole, that (a) is included in the normal form of</t>
        </is>
      </c>
    </row>
    <row r="125">
      <c r="A125" t="inlineStr">
        <is>
          <t>packaging a Major Component, but which is not part of that Major</t>
        </is>
      </c>
    </row>
    <row r="126">
      <c r="A126" t="inlineStr">
        <is>
          <t>Component, and (b) serves only to enable use of the work with that</t>
        </is>
      </c>
    </row>
    <row r="127">
      <c r="A127" t="inlineStr">
        <is>
          <t>Major Component, or to implement a Standard Interface for which an</t>
        </is>
      </c>
    </row>
    <row r="128">
      <c r="A128" t="inlineStr">
        <is>
          <t>implementation is available to the public in source code form.  A</t>
        </is>
      </c>
    </row>
    <row r="129">
      <c r="A129" t="inlineStr">
        <is>
          <t>Major Component, in this context, means a major essential component</t>
        </is>
      </c>
    </row>
    <row r="130">
      <c r="A130" t="inlineStr">
        <is>
          <t>(kernel, window system, and so on) of the specific operating system</t>
        </is>
      </c>
    </row>
    <row r="131">
      <c r="A131" t="inlineStr">
        <is>
          <t>(if any) on which the executable work runs, or a compiler used to</t>
        </is>
      </c>
    </row>
    <row r="132">
      <c r="A132" t="inlineStr">
        <is>
          <t>produce the work, or an object code interpreter used to run it.</t>
        </is>
      </c>
    </row>
    <row r="134">
      <c r="A134" t="inlineStr">
        <is>
          <t xml:space="preserve">  The "Corresponding Source" for a work in object code form means all</t>
        </is>
      </c>
    </row>
    <row r="135">
      <c r="A135" t="inlineStr">
        <is>
          <t>the source code needed to generate, install, and (for an executable</t>
        </is>
      </c>
    </row>
    <row r="136">
      <c r="A136" t="inlineStr">
        <is>
          <t>work) run the object code and to modify the work, including scripts to</t>
        </is>
      </c>
    </row>
    <row r="137">
      <c r="A137" t="inlineStr">
        <is>
          <t>control those activities.  However, it does not include the work's</t>
        </is>
      </c>
    </row>
    <row r="138">
      <c r="A138" t="inlineStr">
        <is>
          <t>System Libraries, or general-purpose tools or generally available free</t>
        </is>
      </c>
    </row>
    <row r="139">
      <c r="A139" t="inlineStr">
        <is>
          <t>programs which are used unmodified in performing those activities but</t>
        </is>
      </c>
    </row>
    <row r="140">
      <c r="A140" t="inlineStr">
        <is>
          <t>which are not part of the work.  For example, Corresponding Source</t>
        </is>
      </c>
    </row>
    <row r="141">
      <c r="A141" t="inlineStr">
        <is>
          <t>includes interface definition files associated with source files for</t>
        </is>
      </c>
    </row>
    <row r="142">
      <c r="A142" t="inlineStr">
        <is>
          <t>the work, and the source code for shared libraries and dynamically</t>
        </is>
      </c>
    </row>
    <row r="143">
      <c r="A143" t="inlineStr">
        <is>
          <t>linked subprograms that the work is specifically designed to require,</t>
        </is>
      </c>
    </row>
    <row r="144">
      <c r="A144" t="inlineStr">
        <is>
          <t>such as by intimate data communication or control flow between those</t>
        </is>
      </c>
    </row>
    <row r="145">
      <c r="A145" t="inlineStr">
        <is>
          <t>subprograms and other parts of the work.</t>
        </is>
      </c>
    </row>
    <row r="147">
      <c r="A147" t="inlineStr">
        <is>
          <t xml:space="preserve">  The Corresponding Source need not include anything that users</t>
        </is>
      </c>
    </row>
    <row r="148">
      <c r="A148" t="inlineStr">
        <is>
          <t>can regenerate automatically from other parts of the Corresponding</t>
        </is>
      </c>
    </row>
    <row r="149">
      <c r="A149" t="inlineStr">
        <is>
          <t>Source.</t>
        </is>
      </c>
    </row>
    <row r="151">
      <c r="A151" t="inlineStr">
        <is>
          <t xml:space="preserve">  The Corresponding Source for a work in source code form is that</t>
        </is>
      </c>
    </row>
    <row r="152">
      <c r="A152" t="inlineStr">
        <is>
          <t>same work.</t>
        </is>
      </c>
    </row>
    <row r="154">
      <c r="A154" t="inlineStr">
        <is>
          <t xml:space="preserve">  2. Basic Permissions.</t>
        </is>
      </c>
    </row>
    <row r="156">
      <c r="A156" t="inlineStr">
        <is>
          <t xml:space="preserve">  All rights granted under this License are granted for the term of</t>
        </is>
      </c>
    </row>
    <row r="157">
      <c r="A157" t="inlineStr">
        <is>
          <t>copyright on the Program, and are irrevocable provided the stated</t>
        </is>
      </c>
    </row>
    <row r="158">
      <c r="A158" t="inlineStr">
        <is>
          <t>conditions are met.  This License explicitly affirms your unlimited</t>
        </is>
      </c>
    </row>
    <row r="159">
      <c r="A159" t="inlineStr">
        <is>
          <t>permission to run the unmodified Program.  The output from running a</t>
        </is>
      </c>
    </row>
    <row r="160">
      <c r="A160" t="inlineStr">
        <is>
          <t>covered work is covered by this License only if the output, given its</t>
        </is>
      </c>
    </row>
    <row r="161">
      <c r="A161" t="inlineStr">
        <is>
          <t>content, constitutes a covered work.  This License acknowledges your</t>
        </is>
      </c>
    </row>
    <row r="162">
      <c r="A162" t="inlineStr">
        <is>
          <t>rights of fair use or other equivalent, as provided by copyright law.</t>
        </is>
      </c>
    </row>
    <row r="164">
      <c r="A164" t="inlineStr">
        <is>
          <t xml:space="preserve">  You may make, run and propagate covered works that you do not</t>
        </is>
      </c>
    </row>
    <row r="165">
      <c r="A165" t="inlineStr">
        <is>
          <t>convey, without conditions so long as your license otherwise remains</t>
        </is>
      </c>
    </row>
    <row r="166">
      <c r="A166" t="inlineStr">
        <is>
          <t>in force.  You may convey covered works to others for the sole purpose</t>
        </is>
      </c>
    </row>
    <row r="167">
      <c r="A167" t="inlineStr">
        <is>
          <t>of having them make modifications exclusively for you, or provide you</t>
        </is>
      </c>
    </row>
    <row r="168">
      <c r="A168" t="inlineStr">
        <is>
          <t>with facilities for running those works, provided that you comply with</t>
        </is>
      </c>
    </row>
    <row r="169">
      <c r="A169" t="inlineStr">
        <is>
          <t>the terms of this License in conveying all material for which you do</t>
        </is>
      </c>
    </row>
    <row r="170">
      <c r="A170" t="inlineStr">
        <is>
          <t>not control copyright.  Those thus making or running the covered works</t>
        </is>
      </c>
    </row>
    <row r="171">
      <c r="A171" t="inlineStr">
        <is>
          <t>for you must do so exclusively on your behalf, under your direction</t>
        </is>
      </c>
    </row>
    <row r="172">
      <c r="A172" t="inlineStr">
        <is>
          <t>and control, on terms that prohibit them from making any copies of</t>
        </is>
      </c>
    </row>
    <row r="173">
      <c r="A173" t="inlineStr">
        <is>
          <t>your copyrighted material outside their relationship with you.</t>
        </is>
      </c>
    </row>
    <row r="175">
      <c r="A175" t="inlineStr">
        <is>
          <t xml:space="preserve">  Conveying under any other circumstances is permitted solely under</t>
        </is>
      </c>
    </row>
    <row r="176">
      <c r="A176" t="inlineStr">
        <is>
          <t>the conditions stated below.  Sublicensing is not allowed; section 10</t>
        </is>
      </c>
    </row>
    <row r="177">
      <c r="A177" t="inlineStr">
        <is>
          <t>makes it unnecessary.</t>
        </is>
      </c>
    </row>
    <row r="179">
      <c r="A179" t="inlineStr">
        <is>
          <t xml:space="preserve">  3. Protecting Users' Legal Rights From Anti-Circumvention Law.</t>
        </is>
      </c>
    </row>
    <row r="181">
      <c r="A181" t="inlineStr">
        <is>
          <t xml:space="preserve">  No covered work shall be deemed part of an effective technological</t>
        </is>
      </c>
    </row>
    <row r="182">
      <c r="A182" t="inlineStr">
        <is>
          <t>measure under any applicable law fulfilling obligations under article</t>
        </is>
      </c>
    </row>
    <row r="183">
      <c r="A183" t="inlineStr">
        <is>
          <t>11 of the WIPO copyright treaty adopted on 20 December 1996, or</t>
        </is>
      </c>
    </row>
    <row r="184">
      <c r="A184" t="inlineStr">
        <is>
          <t>similar laws prohibiting or restricting circumvention of such</t>
        </is>
      </c>
    </row>
    <row r="185">
      <c r="A185" t="inlineStr">
        <is>
          <t>measures.</t>
        </is>
      </c>
    </row>
    <row r="187">
      <c r="A187" t="inlineStr">
        <is>
          <t xml:space="preserve">  When you convey a covered work, you waive any legal power to forbid</t>
        </is>
      </c>
    </row>
    <row r="188">
      <c r="A188" t="inlineStr">
        <is>
          <t>circumvention of technological measures to the extent such circumvention</t>
        </is>
      </c>
    </row>
    <row r="189">
      <c r="A189" t="inlineStr">
        <is>
          <t>is effected by exercising rights under this License with respect to</t>
        </is>
      </c>
    </row>
    <row r="190">
      <c r="A190" t="inlineStr">
        <is>
          <t>the covered work, and you disclaim any intention to limit operation or</t>
        </is>
      </c>
    </row>
    <row r="191">
      <c r="A191" t="inlineStr">
        <is>
          <t>modification of the work as a means of enforcing, against the work's</t>
        </is>
      </c>
    </row>
    <row r="192">
      <c r="A192" t="inlineStr">
        <is>
          <t>users, your or third parties' legal rights to forbid circumvention of</t>
        </is>
      </c>
    </row>
    <row r="193">
      <c r="A193" t="inlineStr">
        <is>
          <t>technological measures.</t>
        </is>
      </c>
    </row>
    <row r="195">
      <c r="A195" t="inlineStr">
        <is>
          <t xml:space="preserve">  4. Conveying Verbatim Copies.</t>
        </is>
      </c>
    </row>
    <row r="197">
      <c r="A197" t="inlineStr">
        <is>
          <t xml:space="preserve">  You may convey verbatim copies of the Program's source code as you</t>
        </is>
      </c>
    </row>
    <row r="198">
      <c r="A198" t="inlineStr">
        <is>
          <t>receive it, in any medium, provided that you conspicuously and</t>
        </is>
      </c>
    </row>
    <row r="199">
      <c r="A199" t="inlineStr">
        <is>
          <t>appropriately publish on each copy an appropriate copyright notice;</t>
        </is>
      </c>
    </row>
    <row r="200">
      <c r="A200" t="inlineStr">
        <is>
          <t>keep intact all notices stating that this License and any</t>
        </is>
      </c>
    </row>
    <row r="201">
      <c r="A201" t="inlineStr">
        <is>
          <t>non-permissive terms added in accord with section 7 apply to the code;</t>
        </is>
      </c>
    </row>
    <row r="202">
      <c r="A202" t="inlineStr">
        <is>
          <t>keep intact all notices of the absence of any warranty; and give all</t>
        </is>
      </c>
    </row>
    <row r="203">
      <c r="A203" t="inlineStr">
        <is>
          <t>recipients a copy of this License along with the Program.</t>
        </is>
      </c>
    </row>
    <row r="205">
      <c r="A205" t="inlineStr">
        <is>
          <t xml:space="preserve">  You may charge any price or no price for each copy that you convey,</t>
        </is>
      </c>
    </row>
    <row r="206">
      <c r="A206" t="inlineStr">
        <is>
          <t>and you may offer support or warranty protection for a fee.</t>
        </is>
      </c>
    </row>
    <row r="208">
      <c r="A208" t="inlineStr">
        <is>
          <t xml:space="preserve">  5. Conveying Modified Source Versions.</t>
        </is>
      </c>
    </row>
    <row r="210">
      <c r="A210" t="inlineStr">
        <is>
          <t xml:space="preserve">  You may convey a work based on the Program, or the modifications to</t>
        </is>
      </c>
    </row>
    <row r="211">
      <c r="A211" t="inlineStr">
        <is>
          <t>produce it from the Program, in the form of source code under the</t>
        </is>
      </c>
    </row>
    <row r="212">
      <c r="A212" t="inlineStr">
        <is>
          <t>terms of section 4, provided that you also meet all of these conditions:</t>
        </is>
      </c>
    </row>
    <row r="214">
      <c r="A214" t="inlineStr">
        <is>
          <t xml:space="preserve">    a) The work must carry prominent notices stating that you modified</t>
        </is>
      </c>
    </row>
    <row r="215">
      <c r="A215" t="inlineStr">
        <is>
          <t xml:space="preserve">    it, and giving a relevant date.</t>
        </is>
      </c>
    </row>
    <row r="217">
      <c r="A217" t="inlineStr">
        <is>
          <t xml:space="preserve">    b) The work must carry prominent notices stating that it is</t>
        </is>
      </c>
    </row>
    <row r="218">
      <c r="A218" t="inlineStr">
        <is>
          <t xml:space="preserve">    released under this License and any conditions added under section</t>
        </is>
      </c>
    </row>
    <row r="219">
      <c r="A219" t="inlineStr">
        <is>
          <t xml:space="preserve">    7.  This requirement modifies the requirement in section 4 to</t>
        </is>
      </c>
    </row>
    <row r="220">
      <c r="A220" t="inlineStr">
        <is>
          <t xml:space="preserve">    "keep intact all notices".</t>
        </is>
      </c>
    </row>
    <row r="222">
      <c r="A222" t="inlineStr">
        <is>
          <t xml:space="preserve">    c) You must license the entire work, as a whole, under this</t>
        </is>
      </c>
    </row>
    <row r="223">
      <c r="A223" t="inlineStr">
        <is>
          <t xml:space="preserve">    License to anyone who comes into possession of a copy.  This</t>
        </is>
      </c>
    </row>
    <row r="224">
      <c r="A224" t="inlineStr">
        <is>
          <t xml:space="preserve">    License will therefore apply, along with any applicable section 7</t>
        </is>
      </c>
    </row>
    <row r="225">
      <c r="A225" t="inlineStr">
        <is>
          <t xml:space="preserve">    additional terms, to the whole of the work, and all its parts,</t>
        </is>
      </c>
    </row>
    <row r="226">
      <c r="A226" t="inlineStr">
        <is>
          <t xml:space="preserve">    regardless of how they are packaged.  This License gives no</t>
        </is>
      </c>
    </row>
    <row r="227">
      <c r="A227" t="inlineStr">
        <is>
          <t xml:space="preserve">    permission to license the work in any other way, but it does not</t>
        </is>
      </c>
    </row>
    <row r="228">
      <c r="A228" t="inlineStr">
        <is>
          <t xml:space="preserve">    invalidate such permission if you have separately received it.</t>
        </is>
      </c>
    </row>
    <row r="230">
      <c r="A230" t="inlineStr">
        <is>
          <t xml:space="preserve">    d) If the work has interactive user interfaces, each must display</t>
        </is>
      </c>
    </row>
    <row r="231">
      <c r="A231" t="inlineStr">
        <is>
          <t xml:space="preserve">    Appropriate Legal Notices; however, if the Program has interactive</t>
        </is>
      </c>
    </row>
    <row r="232">
      <c r="A232" t="inlineStr">
        <is>
          <t xml:space="preserve">    interfaces that do not display Appropriate Legal Notices, your</t>
        </is>
      </c>
    </row>
    <row r="233">
      <c r="A233" t="inlineStr">
        <is>
          <t xml:space="preserve">    work need not make them do so.</t>
        </is>
      </c>
    </row>
    <row r="235">
      <c r="A235" t="inlineStr">
        <is>
          <t xml:space="preserve">  A compilation of a covered work with other separate and independent</t>
        </is>
      </c>
    </row>
    <row r="236">
      <c r="A236" t="inlineStr">
        <is>
          <t>works, which are not by their nature extensions of the covered work,</t>
        </is>
      </c>
    </row>
    <row r="237">
      <c r="A237" t="inlineStr">
        <is>
          <t>and which are not combined with it such as to form a larger program,</t>
        </is>
      </c>
    </row>
    <row r="238">
      <c r="A238" t="inlineStr">
        <is>
          <t>in or on a volume of a storage or distribution medium, is called an</t>
        </is>
      </c>
    </row>
    <row r="239">
      <c r="A239" t="inlineStr">
        <is>
          <t>aggregate if the compilation and its resulting copyright are not</t>
        </is>
      </c>
    </row>
    <row r="240">
      <c r="A240" t="inlineStr">
        <is>
          <t>used to limit the access or legal rights of the compilation's users</t>
        </is>
      </c>
    </row>
    <row r="241">
      <c r="A241" t="inlineStr">
        <is>
          <t>beyond what the individual works permit.  Inclusion of a covered work</t>
        </is>
      </c>
    </row>
    <row r="242">
      <c r="A242" t="inlineStr">
        <is>
          <t>in an aggregate does not cause this License to apply to the other</t>
        </is>
      </c>
    </row>
    <row r="243">
      <c r="A243" t="inlineStr">
        <is>
          <t>parts of the aggregate.</t>
        </is>
      </c>
    </row>
    <row r="245">
      <c r="A245" t="inlineStr">
        <is>
          <t xml:space="preserve">  6. Conveying Non-Source Forms.</t>
        </is>
      </c>
    </row>
    <row r="247">
      <c r="A247" t="inlineStr">
        <is>
          <t xml:space="preserve">  You may convey a covered work in object code form under the terms</t>
        </is>
      </c>
    </row>
    <row r="248">
      <c r="A248" t="inlineStr">
        <is>
          <t>of sections 4 and 5, provided that you also convey the</t>
        </is>
      </c>
    </row>
    <row r="249">
      <c r="A249" t="inlineStr">
        <is>
          <t>machine-readable Corresponding Source under the terms of this License,</t>
        </is>
      </c>
    </row>
    <row r="250">
      <c r="A250" t="inlineStr">
        <is>
          <t>in one of these ways:</t>
        </is>
      </c>
    </row>
    <row r="252">
      <c r="A252" t="inlineStr">
        <is>
          <t xml:space="preserve">    a) Convey the object code in, or embodied in, a physical product</t>
        </is>
      </c>
    </row>
    <row r="253">
      <c r="A253" t="inlineStr">
        <is>
          <t xml:space="preserve">    (including a physical distribution medium), accompanied by the</t>
        </is>
      </c>
    </row>
    <row r="254">
      <c r="A254" t="inlineStr">
        <is>
          <t xml:space="preserve">    Corresponding Source fixed on a durable physical medium</t>
        </is>
      </c>
    </row>
    <row r="255">
      <c r="A255" t="inlineStr">
        <is>
          <t xml:space="preserve">    customarily used for software interchange.</t>
        </is>
      </c>
    </row>
    <row r="257">
      <c r="A257" t="inlineStr">
        <is>
          <t xml:space="preserve">    b) Convey the object code in, or embodied in, a physical product</t>
        </is>
      </c>
    </row>
    <row r="258">
      <c r="A258" t="inlineStr">
        <is>
          <t xml:space="preserve">    (including a physical distribution medium), accompanied by a</t>
        </is>
      </c>
    </row>
    <row r="259">
      <c r="A259" t="inlineStr">
        <is>
          <t xml:space="preserve">    written offer, valid for at least three years and valid for as</t>
        </is>
      </c>
    </row>
    <row r="260">
      <c r="A260" t="inlineStr">
        <is>
          <t xml:space="preserve">    long as you offer spare parts or customer support for that product</t>
        </is>
      </c>
    </row>
    <row r="261">
      <c r="A261" t="inlineStr">
        <is>
          <t xml:space="preserve">    model, to give anyone who possesses the object code either (1) a</t>
        </is>
      </c>
    </row>
    <row r="262">
      <c r="A262" t="inlineStr">
        <is>
          <t xml:space="preserve">    copy of the Corresponding Source for all the software in the</t>
        </is>
      </c>
    </row>
    <row r="263">
      <c r="A263" t="inlineStr">
        <is>
          <t xml:space="preserve">    product that is covered by this License, on a durable physical</t>
        </is>
      </c>
    </row>
    <row r="264">
      <c r="A264" t="inlineStr">
        <is>
          <t xml:space="preserve">    medium customarily used for software interchange, for a price no</t>
        </is>
      </c>
    </row>
    <row r="265">
      <c r="A265" t="inlineStr">
        <is>
          <t xml:space="preserve">    more than your reasonable cost of physically performing this</t>
        </is>
      </c>
    </row>
    <row r="266">
      <c r="A266" t="inlineStr">
        <is>
          <t xml:space="preserve">    conveying of source, or (2) access to copy the</t>
        </is>
      </c>
    </row>
    <row r="267">
      <c r="A267" t="inlineStr">
        <is>
          <t xml:space="preserve">    Corresponding Source from a network server at no charge.</t>
        </is>
      </c>
    </row>
    <row r="269">
      <c r="A269" t="inlineStr">
        <is>
          <t xml:space="preserve">    c) Convey individual copies of the object code with a copy of the</t>
        </is>
      </c>
    </row>
    <row r="270">
      <c r="A270" t="inlineStr">
        <is>
          <t xml:space="preserve">    written offer to provide the Corresponding Source.  This</t>
        </is>
      </c>
    </row>
    <row r="271">
      <c r="A271" t="inlineStr">
        <is>
          <t xml:space="preserve">    alternative is allowed only occasionally and noncommercially, and</t>
        </is>
      </c>
    </row>
    <row r="272">
      <c r="A272" t="inlineStr">
        <is>
          <t xml:space="preserve">    only if you received the object code with such an offer, in accord</t>
        </is>
      </c>
    </row>
    <row r="273">
      <c r="A273" t="inlineStr">
        <is>
          <t xml:space="preserve">    with subsection 6b.</t>
        </is>
      </c>
    </row>
    <row r="275">
      <c r="A275" t="inlineStr">
        <is>
          <t xml:space="preserve">    d) Convey the object code by offering access from a designated</t>
        </is>
      </c>
    </row>
    <row r="276">
      <c r="A276" t="inlineStr">
        <is>
          <t xml:space="preserve">    place (gratis or for a charge), and offer equivalent access to the</t>
        </is>
      </c>
    </row>
    <row r="277">
      <c r="A277" t="inlineStr">
        <is>
          <t xml:space="preserve">    Corresponding Source in the same way through the same place at no</t>
        </is>
      </c>
    </row>
    <row r="278">
      <c r="A278" t="inlineStr">
        <is>
          <t xml:space="preserve">    further charge.  You need not require recipients to copy the</t>
        </is>
      </c>
    </row>
    <row r="279">
      <c r="A279" t="inlineStr">
        <is>
          <t xml:space="preserve">    Corresponding Source along with the object code.  If the place to</t>
        </is>
      </c>
    </row>
    <row r="280">
      <c r="A280" t="inlineStr">
        <is>
          <t xml:space="preserve">    copy the object code is a network server, the Corresponding Source</t>
        </is>
      </c>
    </row>
    <row r="281">
      <c r="A281" t="inlineStr">
        <is>
          <t xml:space="preserve">    may be on a different server (operated by you or a third party)</t>
        </is>
      </c>
    </row>
    <row r="282">
      <c r="A282" t="inlineStr">
        <is>
          <t xml:space="preserve">    that supports equivalent copying facilities, provided you maintain</t>
        </is>
      </c>
    </row>
    <row r="283">
      <c r="A283" t="inlineStr">
        <is>
          <t xml:space="preserve">    clear directions next to the object code saying where to find the</t>
        </is>
      </c>
    </row>
    <row r="284">
      <c r="A284" t="inlineStr">
        <is>
          <t xml:space="preserve">    Corresponding Source.  Regardless of what server hosts the</t>
        </is>
      </c>
    </row>
    <row r="285">
      <c r="A285" t="inlineStr">
        <is>
          <t xml:space="preserve">    Corresponding Source, you remain obligated to ensure that it is</t>
        </is>
      </c>
    </row>
    <row r="286">
      <c r="A286" t="inlineStr">
        <is>
          <t xml:space="preserve">    available for as long as needed to satisfy these requirements.</t>
        </is>
      </c>
    </row>
    <row r="288">
      <c r="A288" t="inlineStr">
        <is>
          <t xml:space="preserve">    e) Convey the object code using peer-to-peer transmission, provided</t>
        </is>
      </c>
    </row>
    <row r="289">
      <c r="A289" t="inlineStr">
        <is>
          <t xml:space="preserve">    you inform other peers where the object code and Corresponding</t>
        </is>
      </c>
    </row>
    <row r="290">
      <c r="A290" t="inlineStr">
        <is>
          <t xml:space="preserve">    Source of the work are being offered to the general public at no</t>
        </is>
      </c>
    </row>
    <row r="291">
      <c r="A291" t="inlineStr">
        <is>
          <t xml:space="preserve">    charge under subsection 6d.</t>
        </is>
      </c>
    </row>
    <row r="293">
      <c r="A293" t="inlineStr">
        <is>
          <t xml:space="preserve">  A separable portion of the object code, whose source code is excluded</t>
        </is>
      </c>
    </row>
    <row r="294">
      <c r="A294" t="inlineStr">
        <is>
          <t>from the Corresponding Source as a System Library, need not be</t>
        </is>
      </c>
    </row>
    <row r="295">
      <c r="A295" t="inlineStr">
        <is>
          <t>included in conveying the object code work.</t>
        </is>
      </c>
    </row>
    <row r="297">
      <c r="A297" t="inlineStr">
        <is>
          <t xml:space="preserve">  A "User Product" is either (1) a "consumer product", which means any</t>
        </is>
      </c>
    </row>
    <row r="298">
      <c r="A298" t="inlineStr">
        <is>
          <t>tangible personal property which is normally used for personal, family,</t>
        </is>
      </c>
    </row>
    <row r="299">
      <c r="A299" t="inlineStr">
        <is>
          <t>or household purposes, or (2) anything designed or sold for incorporation</t>
        </is>
      </c>
    </row>
    <row r="300">
      <c r="A300" t="inlineStr">
        <is>
          <t>into a dwelling.  In determining whether a product is a consumer product,</t>
        </is>
      </c>
    </row>
    <row r="301">
      <c r="A301" t="inlineStr">
        <is>
          <t>doubtful cases shall be resolved in favor of coverage.  For a particular</t>
        </is>
      </c>
    </row>
    <row r="302">
      <c r="A302" t="inlineStr">
        <is>
          <t>product received by a particular user, "normally used" refers to a</t>
        </is>
      </c>
    </row>
    <row r="303">
      <c r="A303" t="inlineStr">
        <is>
          <t>typical or common use of that class of product, regardless of the status</t>
        </is>
      </c>
    </row>
    <row r="304">
      <c r="A304" t="inlineStr">
        <is>
          <t>of the particular user or of the way in which the particular user</t>
        </is>
      </c>
    </row>
    <row r="305">
      <c r="A305" t="inlineStr">
        <is>
          <t>actually uses, or expects or is expected to use, the product.  A product</t>
        </is>
      </c>
    </row>
    <row r="306">
      <c r="A306" t="inlineStr">
        <is>
          <t>is a consumer product regardless of whether the product has substantial</t>
        </is>
      </c>
    </row>
    <row r="307">
      <c r="A307" t="inlineStr">
        <is>
          <t>commercial, industrial or non-consumer uses, unless such uses represent</t>
        </is>
      </c>
    </row>
    <row r="308">
      <c r="A308" t="inlineStr">
        <is>
          <t>the only significant mode of use of the product.</t>
        </is>
      </c>
    </row>
    <row r="310">
      <c r="A310" t="inlineStr">
        <is>
          <t xml:space="preserve">  "Installation Information" for a User Product means any methods,</t>
        </is>
      </c>
    </row>
    <row r="311">
      <c r="A311" t="inlineStr">
        <is>
          <t>procedures, authorization keys, or other information required to install</t>
        </is>
      </c>
    </row>
    <row r="312">
      <c r="A312" t="inlineStr">
        <is>
          <t>and execute modified versions of a covered work in that User Product from</t>
        </is>
      </c>
    </row>
    <row r="313">
      <c r="A313" t="inlineStr">
        <is>
          <t>a modified version of its Corresponding Source.  The information must</t>
        </is>
      </c>
    </row>
    <row r="314">
      <c r="A314" t="inlineStr">
        <is>
          <t>suffice to ensure that the continued functioning of the modified object</t>
        </is>
      </c>
    </row>
    <row r="315">
      <c r="A315" t="inlineStr">
        <is>
          <t>code is in no case prevented or interfered with solely because</t>
        </is>
      </c>
    </row>
    <row r="316">
      <c r="A316" t="inlineStr">
        <is>
          <t>modification has been made.</t>
        </is>
      </c>
    </row>
    <row r="318">
      <c r="A318" t="inlineStr">
        <is>
          <t xml:space="preserve">  If you convey an object code work under this section in, or with, or</t>
        </is>
      </c>
    </row>
    <row r="319">
      <c r="A319" t="inlineStr">
        <is>
          <t>specifically for use in, a User Product, and the conveying occurs as</t>
        </is>
      </c>
    </row>
    <row r="320">
      <c r="A320" t="inlineStr">
        <is>
          <t>part of a transaction in which the right of possession and use of the</t>
        </is>
      </c>
    </row>
    <row r="321">
      <c r="A321" t="inlineStr">
        <is>
          <t>User Product is transferred to the recipient in perpetuity or for a</t>
        </is>
      </c>
    </row>
    <row r="322">
      <c r="A322" t="inlineStr">
        <is>
          <t>fixed term (regardless of how the transaction is characterized), the</t>
        </is>
      </c>
    </row>
    <row r="323">
      <c r="A323" t="inlineStr">
        <is>
          <t>Corresponding Source conveyed under this section must be accompanied</t>
        </is>
      </c>
    </row>
    <row r="324">
      <c r="A324" t="inlineStr">
        <is>
          <t>by the Installation Information.  But this requirement does not apply</t>
        </is>
      </c>
    </row>
    <row r="325">
      <c r="A325" t="inlineStr">
        <is>
          <t>if neither you nor any third party retains the ability to install</t>
        </is>
      </c>
    </row>
    <row r="326">
      <c r="A326" t="inlineStr">
        <is>
          <t>modified object code on the User Product (for example, the work has</t>
        </is>
      </c>
    </row>
    <row r="327">
      <c r="A327" t="inlineStr">
        <is>
          <t>been installed in ROM).</t>
        </is>
      </c>
    </row>
    <row r="329">
      <c r="A329" t="inlineStr">
        <is>
          <t xml:space="preserve">  The requirement to provide Installation Information does not include a</t>
        </is>
      </c>
    </row>
    <row r="330">
      <c r="A330" t="inlineStr">
        <is>
          <t>requirement to continue to provide support service, warranty, or updates</t>
        </is>
      </c>
    </row>
    <row r="331">
      <c r="A331" t="inlineStr">
        <is>
          <t>for a work that has been modified or installed by the recipient, or for</t>
        </is>
      </c>
    </row>
    <row r="332">
      <c r="A332" t="inlineStr">
        <is>
          <t>the User Product in which it has been modified or installed.  Access to a</t>
        </is>
      </c>
    </row>
    <row r="333">
      <c r="A333" t="inlineStr">
        <is>
          <t>network may be denied when the modification itself materially and</t>
        </is>
      </c>
    </row>
    <row r="334">
      <c r="A334" t="inlineStr">
        <is>
          <t>adversely affects the operation of the network or violates the rules and</t>
        </is>
      </c>
    </row>
    <row r="335">
      <c r="A335" t="inlineStr">
        <is>
          <t>protocols for communication across the network.</t>
        </is>
      </c>
    </row>
    <row r="337">
      <c r="A337" t="inlineStr">
        <is>
          <t xml:space="preserve">  Corresponding Source conveyed, and Installation Information provided,</t>
        </is>
      </c>
    </row>
    <row r="338">
      <c r="A338" t="inlineStr">
        <is>
          <t>in accord with this section must be in a format that is publicly</t>
        </is>
      </c>
    </row>
    <row r="339">
      <c r="A339" t="inlineStr">
        <is>
          <t>documented (and with an implementation available to the public in</t>
        </is>
      </c>
    </row>
    <row r="340">
      <c r="A340" t="inlineStr">
        <is>
          <t>source code form), and must require no special password or key for</t>
        </is>
      </c>
    </row>
    <row r="341">
      <c r="A341" t="inlineStr">
        <is>
          <t>unpacking, reading or copying.</t>
        </is>
      </c>
    </row>
    <row r="343">
      <c r="A343" t="inlineStr">
        <is>
          <t xml:space="preserve">  7. Additional Terms.</t>
        </is>
      </c>
    </row>
    <row r="345">
      <c r="A345" t="inlineStr">
        <is>
          <t xml:space="preserve">  "Additional permissions" are terms that supplement the terms of this</t>
        </is>
      </c>
    </row>
    <row r="346">
      <c r="A346" t="inlineStr">
        <is>
          <t>License by making exceptions from one or more of its conditions.</t>
        </is>
      </c>
    </row>
    <row r="347">
      <c r="A347" t="inlineStr">
        <is>
          <t>Additional permissions that are applicable to the entire Program shall</t>
        </is>
      </c>
    </row>
    <row r="348">
      <c r="A348" t="inlineStr">
        <is>
          <t>be treated as though they were included in this License, to the extent</t>
        </is>
      </c>
    </row>
    <row r="349">
      <c r="A349" t="inlineStr">
        <is>
          <t>that they are valid under applicable law.  If additional permissions</t>
        </is>
      </c>
    </row>
    <row r="350">
      <c r="A350" t="inlineStr">
        <is>
          <t>apply only to part of the Program, that part may be used separately</t>
        </is>
      </c>
    </row>
    <row r="351">
      <c r="A351" t="inlineStr">
        <is>
          <t>under those permissions, but the entire Program remains governed by</t>
        </is>
      </c>
    </row>
    <row r="352">
      <c r="A352" t="inlineStr">
        <is>
          <t>this License without regard to the additional permissions.</t>
        </is>
      </c>
    </row>
    <row r="354">
      <c r="A354" t="inlineStr">
        <is>
          <t xml:space="preserve">  When you convey a copy of a covered work, you may at your option</t>
        </is>
      </c>
    </row>
    <row r="355">
      <c r="A355" t="inlineStr">
        <is>
          <t>remove any additional permissions from that copy, or from any part of</t>
        </is>
      </c>
    </row>
    <row r="356">
      <c r="A356" t="inlineStr">
        <is>
          <t>it.  (Additional permissions may be written to require their own</t>
        </is>
      </c>
    </row>
    <row r="357">
      <c r="A357" t="inlineStr">
        <is>
          <t>removal in certain cases when you modify the work.)  You may place</t>
        </is>
      </c>
    </row>
    <row r="358">
      <c r="A358" t="inlineStr">
        <is>
          <t>additional permissions on material, added by you to a covered work,</t>
        </is>
      </c>
    </row>
    <row r="359">
      <c r="A359" t="inlineStr">
        <is>
          <t>for which you have or can give appropriate copyright permission.</t>
        </is>
      </c>
    </row>
    <row r="361">
      <c r="A361" t="inlineStr">
        <is>
          <t xml:space="preserve">  Notwithstanding any other provision of this License, for material you</t>
        </is>
      </c>
    </row>
    <row r="362">
      <c r="A362" t="inlineStr">
        <is>
          <t>add to a covered work, you may (if authorized by the copyright holders of</t>
        </is>
      </c>
    </row>
    <row r="363">
      <c r="A363" t="inlineStr">
        <is>
          <t>that material) supplement the terms of this License with terms:</t>
        </is>
      </c>
    </row>
    <row r="365">
      <c r="A365" t="inlineStr">
        <is>
          <t xml:space="preserve">    a) Disclaiming warranty or limiting liability differently from the</t>
        </is>
      </c>
    </row>
    <row r="366">
      <c r="A366" t="inlineStr">
        <is>
          <t xml:space="preserve">    terms of sections 15 and 16 of this License; or</t>
        </is>
      </c>
    </row>
    <row r="368">
      <c r="A368" t="inlineStr">
        <is>
          <t xml:space="preserve">    b) Requiring preservation of specified reasonable legal notices or</t>
        </is>
      </c>
    </row>
    <row r="369">
      <c r="A369" t="inlineStr">
        <is>
          <t xml:space="preserve">    author attributions in that material or in the Appropriate Legal</t>
        </is>
      </c>
    </row>
    <row r="370">
      <c r="A370" t="inlineStr">
        <is>
          <t xml:space="preserve">    Notices displayed by works containing it; or</t>
        </is>
      </c>
    </row>
    <row r="372">
      <c r="A372" t="inlineStr">
        <is>
          <t xml:space="preserve">    c) Prohibiting misrepresentation of the origin of that material, or</t>
        </is>
      </c>
    </row>
    <row r="373">
      <c r="A373" t="inlineStr">
        <is>
          <t xml:space="preserve">    requiring that modified versions of such material be marked in</t>
        </is>
      </c>
    </row>
    <row r="374">
      <c r="A374" t="inlineStr">
        <is>
          <t xml:space="preserve">    reasonable ways as different from the original version; or</t>
        </is>
      </c>
    </row>
    <row r="376">
      <c r="A376" t="inlineStr">
        <is>
          <t xml:space="preserve">    d) Limiting the use for publicity purposes of names of licensors or</t>
        </is>
      </c>
    </row>
    <row r="377">
      <c r="A377" t="inlineStr">
        <is>
          <t xml:space="preserve">    authors of the material; or</t>
        </is>
      </c>
    </row>
    <row r="379">
      <c r="A379" t="inlineStr">
        <is>
          <t xml:space="preserve">    e) Declining to grant rights under trademark law for use of some</t>
        </is>
      </c>
    </row>
    <row r="380">
      <c r="A380" t="inlineStr">
        <is>
          <t xml:space="preserve">    trade names, trademarks, or service marks; or</t>
        </is>
      </c>
    </row>
    <row r="382">
      <c r="A382" t="inlineStr">
        <is>
          <t xml:space="preserve">    f) Requiring indemnification of licensors and authors of that</t>
        </is>
      </c>
    </row>
    <row r="383">
      <c r="A383" t="inlineStr">
        <is>
          <t xml:space="preserve">    material by anyone who conveys the material (or modified versions of</t>
        </is>
      </c>
    </row>
    <row r="384">
      <c r="A384" t="inlineStr">
        <is>
          <t xml:space="preserve">    it) with contractual assumptions of liability to the recipient, for</t>
        </is>
      </c>
    </row>
    <row r="385">
      <c r="A385" t="inlineStr">
        <is>
          <t xml:space="preserve">    any liability that these contractual assumptions directly impose on</t>
        </is>
      </c>
    </row>
    <row r="386">
      <c r="A386" t="inlineStr">
        <is>
          <t xml:space="preserve">    those licensors and authors.</t>
        </is>
      </c>
    </row>
    <row r="388">
      <c r="A388" t="inlineStr">
        <is>
          <t xml:space="preserve">  All other non-permissive additional terms are considered "further</t>
        </is>
      </c>
    </row>
    <row r="389">
      <c r="A389" t="inlineStr">
        <is>
          <t>restrictions" within the meaning of section 10.  If the Program as you</t>
        </is>
      </c>
    </row>
    <row r="390">
      <c r="A390" t="inlineStr">
        <is>
          <t>received it, or any part of it, contains a notice stating that it is</t>
        </is>
      </c>
    </row>
    <row r="391">
      <c r="A391" t="inlineStr">
        <is>
          <t>governed by this License along with a term that is a further</t>
        </is>
      </c>
    </row>
    <row r="392">
      <c r="A392" t="inlineStr">
        <is>
          <t>restriction, you may remove that term.  If a license document contains</t>
        </is>
      </c>
    </row>
    <row r="393">
      <c r="A393" t="inlineStr">
        <is>
          <t>a further restriction but permits relicensing or conveying under this</t>
        </is>
      </c>
    </row>
    <row r="394">
      <c r="A394" t="inlineStr">
        <is>
          <t>License, you may add to a covered work material governed by the terms</t>
        </is>
      </c>
    </row>
    <row r="395">
      <c r="A395" t="inlineStr">
        <is>
          <t>of that license document, provided that the further restriction does</t>
        </is>
      </c>
    </row>
    <row r="396">
      <c r="A396" t="inlineStr">
        <is>
          <t>not survive such relicensing or conveying.</t>
        </is>
      </c>
    </row>
    <row r="398">
      <c r="A398" t="inlineStr">
        <is>
          <t xml:space="preserve">  If you add terms to a covered work in accord with this section, you</t>
        </is>
      </c>
    </row>
    <row r="399">
      <c r="A399" t="inlineStr">
        <is>
          <t>must place, in the relevant source files, a statement of the</t>
        </is>
      </c>
    </row>
    <row r="400">
      <c r="A400" t="inlineStr">
        <is>
          <t>additional terms that apply to those files, or a notice indicating</t>
        </is>
      </c>
    </row>
    <row r="401">
      <c r="A401" t="inlineStr">
        <is>
          <t>where to find the applicable terms.</t>
        </is>
      </c>
    </row>
    <row r="403">
      <c r="A403" t="inlineStr">
        <is>
          <t xml:space="preserve">  Additional terms, permissive or non-permissive, may be stated in the</t>
        </is>
      </c>
    </row>
    <row r="404">
      <c r="A404" t="inlineStr">
        <is>
          <t>form of a separately written license, or stated as exceptions;</t>
        </is>
      </c>
    </row>
    <row r="405">
      <c r="A405" t="inlineStr">
        <is>
          <t>the above requirements apply either way.</t>
        </is>
      </c>
    </row>
    <row r="407">
      <c r="A407" t="inlineStr">
        <is>
          <t xml:space="preserve">  8. Termination.</t>
        </is>
      </c>
    </row>
    <row r="409">
      <c r="A409" t="inlineStr">
        <is>
          <t xml:space="preserve">  You may not propagate or modify a covered work except as expressly</t>
        </is>
      </c>
    </row>
    <row r="410">
      <c r="A410" t="inlineStr">
        <is>
          <t>provided under this License.  Any attempt otherwise to propagate or</t>
        </is>
      </c>
    </row>
    <row r="411">
      <c r="A411" t="inlineStr">
        <is>
          <t>modify it is void, and will automatically terminate your rights under</t>
        </is>
      </c>
    </row>
    <row r="412">
      <c r="A412" t="inlineStr">
        <is>
          <t>this License (including any patent licenses granted under the third</t>
        </is>
      </c>
    </row>
    <row r="413">
      <c r="A413" t="inlineStr">
        <is>
          <t>paragraph of section 11).</t>
        </is>
      </c>
    </row>
    <row r="415">
      <c r="A415" t="inlineStr">
        <is>
          <t xml:space="preserve">  However, if you cease all violation of this License, then your</t>
        </is>
      </c>
    </row>
    <row r="416">
      <c r="A416" t="inlineStr">
        <is>
          <t>license from a particular copyright holder is reinstated (a)</t>
        </is>
      </c>
    </row>
    <row r="417">
      <c r="A417" t="inlineStr">
        <is>
          <t>provisionally, unless and until the copyright holder explicitly and</t>
        </is>
      </c>
    </row>
    <row r="418">
      <c r="A418" t="inlineStr">
        <is>
          <t>finally terminates your license, and (b) permanently, if the copyright</t>
        </is>
      </c>
    </row>
    <row r="419">
      <c r="A419" t="inlineStr">
        <is>
          <t>holder fails to notify you of the violation by some reasonable means</t>
        </is>
      </c>
    </row>
    <row r="420">
      <c r="A420" t="inlineStr">
        <is>
          <t>prior to 60 days after the cessation.</t>
        </is>
      </c>
    </row>
    <row r="422">
      <c r="A422" t="inlineStr">
        <is>
          <t xml:space="preserve">  Moreover, your license from a particular copyright holder is</t>
        </is>
      </c>
    </row>
    <row r="423">
      <c r="A423" t="inlineStr">
        <is>
          <t>reinstated permanently if the copyright holder notifies you of the</t>
        </is>
      </c>
    </row>
    <row r="424">
      <c r="A424" t="inlineStr">
        <is>
          <t>violation by some reasonable means, this is the first time you have</t>
        </is>
      </c>
    </row>
    <row r="425">
      <c r="A425" t="inlineStr">
        <is>
          <t>received notice of violation of this License (for any work) from that</t>
        </is>
      </c>
    </row>
    <row r="426">
      <c r="A426" t="inlineStr">
        <is>
          <t>copyright holder, and you cure the violation prior to 30 days after</t>
        </is>
      </c>
    </row>
    <row r="427">
      <c r="A427" t="inlineStr">
        <is>
          <t>your receipt of the notice.</t>
        </is>
      </c>
    </row>
    <row r="429">
      <c r="A429" t="inlineStr">
        <is>
          <t xml:space="preserve">  Termination of your rights under this section does not terminate the</t>
        </is>
      </c>
    </row>
    <row r="430">
      <c r="A430" t="inlineStr">
        <is>
          <t>licenses of parties who have received copies or rights from you under</t>
        </is>
      </c>
    </row>
    <row r="431">
      <c r="A431" t="inlineStr">
        <is>
          <t>this License.  If your rights have been terminated and not permanently</t>
        </is>
      </c>
    </row>
    <row r="432">
      <c r="A432" t="inlineStr">
        <is>
          <t>reinstated, you do not qualify to receive new licenses for the same</t>
        </is>
      </c>
    </row>
    <row r="433">
      <c r="A433" t="inlineStr">
        <is>
          <t>material under section 10.</t>
        </is>
      </c>
    </row>
    <row r="435">
      <c r="A435" t="inlineStr">
        <is>
          <t xml:space="preserve">  9. Acceptance Not Required for Having Copies.</t>
        </is>
      </c>
    </row>
    <row r="437">
      <c r="A437" t="inlineStr">
        <is>
          <t xml:space="preserve">  You are not required to accept this License in order to receive or</t>
        </is>
      </c>
    </row>
    <row r="438">
      <c r="A438" t="inlineStr">
        <is>
          <t>run a copy of the Program.  Ancillary propagation of a covered work</t>
        </is>
      </c>
    </row>
    <row r="439">
      <c r="A439" t="inlineStr">
        <is>
          <t>occurring solely as a consequence of using peer-to-peer transmission</t>
        </is>
      </c>
    </row>
    <row r="440">
      <c r="A440" t="inlineStr">
        <is>
          <t>to receive a copy likewise does not require acceptance.  However,</t>
        </is>
      </c>
    </row>
    <row r="441">
      <c r="A441" t="inlineStr">
        <is>
          <t>nothing other than this License grants you permission to propagate or</t>
        </is>
      </c>
    </row>
    <row r="442">
      <c r="A442" t="inlineStr">
        <is>
          <t>modify any covered work.  These actions infringe copyright if you do</t>
        </is>
      </c>
    </row>
    <row r="443">
      <c r="A443" t="inlineStr">
        <is>
          <t>not accept this License.  Therefore, by modifying or propagating a</t>
        </is>
      </c>
    </row>
    <row r="444">
      <c r="A444" t="inlineStr">
        <is>
          <t>covered work, you indicate your acceptance of this License to do so.</t>
        </is>
      </c>
    </row>
    <row r="446">
      <c r="A446" t="inlineStr">
        <is>
          <t xml:space="preserve">  10. Automatic Licensing of Downstream Recipients.</t>
        </is>
      </c>
    </row>
    <row r="448">
      <c r="A448" t="inlineStr">
        <is>
          <t xml:space="preserve">  Each time you convey a covered work, the recipient automatically</t>
        </is>
      </c>
    </row>
    <row r="449">
      <c r="A449" t="inlineStr">
        <is>
          <t>receives a license from the original licensors, to run, modify and</t>
        </is>
      </c>
    </row>
    <row r="450">
      <c r="A450" t="inlineStr">
        <is>
          <t>propagate that work, subject to this License.  You are not responsible</t>
        </is>
      </c>
    </row>
    <row r="451">
      <c r="A451" t="inlineStr">
        <is>
          <t>for enforcing compliance by third parties with this License.</t>
        </is>
      </c>
    </row>
    <row r="453">
      <c r="A453" t="inlineStr">
        <is>
          <t xml:space="preserve">  An "entity transaction" is a transaction transferring control of an</t>
        </is>
      </c>
    </row>
    <row r="454">
      <c r="A454" t="inlineStr">
        <is>
          <t>organization, or substantially all assets of one, or subdividing an</t>
        </is>
      </c>
    </row>
    <row r="455">
      <c r="A455" t="inlineStr">
        <is>
          <t>organization, or merging organizations.  If propagation of a covered</t>
        </is>
      </c>
    </row>
    <row r="456">
      <c r="A456" t="inlineStr">
        <is>
          <t>work results from an entity transaction, each party to that</t>
        </is>
      </c>
    </row>
    <row r="457">
      <c r="A457" t="inlineStr">
        <is>
          <t>transaction who receives a copy of the work also receives whatever</t>
        </is>
      </c>
    </row>
    <row r="458">
      <c r="A458" t="inlineStr">
        <is>
          <t>licenses to the work the party's predecessor in interest had or could</t>
        </is>
      </c>
    </row>
    <row r="459">
      <c r="A459" t="inlineStr">
        <is>
          <t>give under the previous paragraph, plus a right to possession of the</t>
        </is>
      </c>
    </row>
    <row r="460">
      <c r="A460" t="inlineStr">
        <is>
          <t>Corresponding Source of the work from the predecessor in interest, if</t>
        </is>
      </c>
    </row>
    <row r="461">
      <c r="A461" t="inlineStr">
        <is>
          <t>the predecessor has it or can get it with reasonable efforts.</t>
        </is>
      </c>
    </row>
    <row r="463">
      <c r="A463" t="inlineStr">
        <is>
          <t xml:space="preserve">  You may not impose any further restrictions on the exercise of the</t>
        </is>
      </c>
    </row>
    <row r="464">
      <c r="A464" t="inlineStr">
        <is>
          <t>rights granted or affirmed under this License.  For example, you may</t>
        </is>
      </c>
    </row>
    <row r="465">
      <c r="A465" t="inlineStr">
        <is>
          <t>not impose a license fee, royalty, or other charge for exercise of</t>
        </is>
      </c>
    </row>
    <row r="466">
      <c r="A466" t="inlineStr">
        <is>
          <t>rights granted under this License, and you may not initiate litigation</t>
        </is>
      </c>
    </row>
    <row r="467">
      <c r="A467" t="inlineStr">
        <is>
          <t>(including a cross-claim or counterclaim in a lawsuit) alleging that</t>
        </is>
      </c>
    </row>
    <row r="468">
      <c r="A468" t="inlineStr">
        <is>
          <t>any patent claim is infringed by making, using, selling, offering for</t>
        </is>
      </c>
    </row>
    <row r="469">
      <c r="A469" t="inlineStr">
        <is>
          <t>sale, or importing the Program or any portion of it.</t>
        </is>
      </c>
    </row>
    <row r="471">
      <c r="A471" t="inlineStr">
        <is>
          <t xml:space="preserve">  11. Patents.</t>
        </is>
      </c>
    </row>
    <row r="473">
      <c r="A473" t="inlineStr">
        <is>
          <t xml:space="preserve">  A "contributor" is a copyright holder who authorizes use under this</t>
        </is>
      </c>
    </row>
    <row r="474">
      <c r="A474" t="inlineStr">
        <is>
          <t>License of the Program or a work on which the Program is based.  The</t>
        </is>
      </c>
    </row>
    <row r="475">
      <c r="A475" t="inlineStr">
        <is>
          <t>work thus licensed is called the contributor's "contributor version".</t>
        </is>
      </c>
    </row>
    <row r="477">
      <c r="A477" t="inlineStr">
        <is>
          <t xml:space="preserve">  A contributor's "essential patent claims" are all patent claims</t>
        </is>
      </c>
    </row>
    <row r="478">
      <c r="A478" t="inlineStr">
        <is>
          <t>owned or controlled by the contributor, whether already acquired or</t>
        </is>
      </c>
    </row>
    <row r="479">
      <c r="A479" t="inlineStr">
        <is>
          <t>hereafter acquired, that would be infringed by some manner, permitted</t>
        </is>
      </c>
    </row>
    <row r="480">
      <c r="A480" t="inlineStr">
        <is>
          <t>by this License, of making, using, or selling its contributor version,</t>
        </is>
      </c>
    </row>
    <row r="481">
      <c r="A481" t="inlineStr">
        <is>
          <t>but do not include claims that would be infringed only as a</t>
        </is>
      </c>
    </row>
    <row r="482">
      <c r="A482" t="inlineStr">
        <is>
          <t>consequence of further modification of the contributor version.  For</t>
        </is>
      </c>
    </row>
    <row r="483">
      <c r="A483" t="inlineStr">
        <is>
          <t>purposes of this definition, "control" includes the right to grant</t>
        </is>
      </c>
    </row>
    <row r="484">
      <c r="A484" t="inlineStr">
        <is>
          <t>patent sublicenses in a manner consistent with the requirements of</t>
        </is>
      </c>
    </row>
    <row r="485">
      <c r="A485" t="inlineStr">
        <is>
          <t>this License.</t>
        </is>
      </c>
    </row>
    <row r="487">
      <c r="A487" t="inlineStr">
        <is>
          <t xml:space="preserve">  Each contributor grants you a non-exclusive, worldwide, royalty-free</t>
        </is>
      </c>
    </row>
    <row r="488">
      <c r="A488" t="inlineStr">
        <is>
          <t>patent license under the contributor's essential patent claims, to</t>
        </is>
      </c>
    </row>
    <row r="489">
      <c r="A489" t="inlineStr">
        <is>
          <t>make, use, sell, offer for sale, import and otherwise run, modify and</t>
        </is>
      </c>
    </row>
    <row r="490">
      <c r="A490" t="inlineStr">
        <is>
          <t>propagate the contents of its contributor version.</t>
        </is>
      </c>
    </row>
    <row r="492">
      <c r="A492" t="inlineStr">
        <is>
          <t xml:space="preserve">  In the following three paragraphs, a "patent license" is any express</t>
        </is>
      </c>
    </row>
    <row r="493">
      <c r="A493" t="inlineStr">
        <is>
          <t>agreement or commitment, however denominated, not to enforce a patent</t>
        </is>
      </c>
    </row>
    <row r="494">
      <c r="A494" t="inlineStr">
        <is>
          <t>(such as an express permission to practice a patent or covenant not to</t>
        </is>
      </c>
    </row>
    <row r="495">
      <c r="A495" t="inlineStr">
        <is>
          <t>sue for patent infringement).  To "grant" such a patent license to a</t>
        </is>
      </c>
    </row>
    <row r="496">
      <c r="A496" t="inlineStr">
        <is>
          <t>party means to make such an agreement or commitment not to enforce a</t>
        </is>
      </c>
    </row>
    <row r="497">
      <c r="A497" t="inlineStr">
        <is>
          <t>patent against the party.</t>
        </is>
      </c>
    </row>
    <row r="499">
      <c r="A499" t="inlineStr">
        <is>
          <t xml:space="preserve">  If you convey a covered work, knowingly relying on a patent license,</t>
        </is>
      </c>
    </row>
    <row r="500">
      <c r="A500" t="inlineStr">
        <is>
          <t>and the Corresponding Source of the work is not available for anyone</t>
        </is>
      </c>
    </row>
    <row r="501">
      <c r="A501" t="inlineStr">
        <is>
          <t>to copy, free of charge and under the terms of this License, through a</t>
        </is>
      </c>
    </row>
    <row r="502">
      <c r="A502" t="inlineStr">
        <is>
          <t>publicly available network server or other readily accessible means,</t>
        </is>
      </c>
    </row>
    <row r="503">
      <c r="A503" t="inlineStr">
        <is>
          <t>then you must either (1) cause the Corresponding Source to be so</t>
        </is>
      </c>
    </row>
    <row r="504">
      <c r="A504" t="inlineStr">
        <is>
          <t>available, or (2) arrange to deprive yourself of the benefit of the</t>
        </is>
      </c>
    </row>
    <row r="505">
      <c r="A505" t="inlineStr">
        <is>
          <t>patent license for this particular work, or (3) arrange, in a manner</t>
        </is>
      </c>
    </row>
    <row r="506">
      <c r="A506" t="inlineStr">
        <is>
          <t>consistent with the requirements of this License, to extend the patent</t>
        </is>
      </c>
    </row>
    <row r="507">
      <c r="A507" t="inlineStr">
        <is>
          <t>license to downstream recipients.  "Knowingly relying" means you have</t>
        </is>
      </c>
    </row>
    <row r="508">
      <c r="A508" t="inlineStr">
        <is>
          <t>actual knowledge that, but for the patent license, your conveying the</t>
        </is>
      </c>
    </row>
    <row r="509">
      <c r="A509" t="inlineStr">
        <is>
          <t>covered work in a country, or your recipient's use of the covered work</t>
        </is>
      </c>
    </row>
    <row r="510">
      <c r="A510" t="inlineStr">
        <is>
          <t>in a country, would infringe one or more identifiable patents in that</t>
        </is>
      </c>
    </row>
    <row r="511">
      <c r="A511" t="inlineStr">
        <is>
          <t>country that you have reason to believe are valid.</t>
        </is>
      </c>
    </row>
    <row r="513">
      <c r="A513" t="inlineStr">
        <is>
          <t xml:space="preserve">  If, pursuant to or in connection with a single transaction or</t>
        </is>
      </c>
    </row>
    <row r="514">
      <c r="A514" t="inlineStr">
        <is>
          <t>arrangement, you convey, or propagate by procuring conveyance of, a</t>
        </is>
      </c>
    </row>
    <row r="515">
      <c r="A515" t="inlineStr">
        <is>
          <t>covered work, and grant a patent license to some of the parties</t>
        </is>
      </c>
    </row>
    <row r="516">
      <c r="A516" t="inlineStr">
        <is>
          <t>receiving the covered work authorizing them to use, propagate, modify</t>
        </is>
      </c>
    </row>
    <row r="517">
      <c r="A517" t="inlineStr">
        <is>
          <t>or convey a specific copy of the covered work, then the patent license</t>
        </is>
      </c>
    </row>
    <row r="518">
      <c r="A518" t="inlineStr">
        <is>
          <t>you grant is automatically extended to all recipients of the covered</t>
        </is>
      </c>
    </row>
    <row r="519">
      <c r="A519" t="inlineStr">
        <is>
          <t>work and works based on it.</t>
        </is>
      </c>
    </row>
    <row r="521">
      <c r="A521" t="inlineStr">
        <is>
          <t xml:space="preserve">  A patent license is "discriminatory" if it does not include within</t>
        </is>
      </c>
    </row>
    <row r="522">
      <c r="A522" t="inlineStr">
        <is>
          <t>the scope of its coverage, prohibits the exercise of, or is</t>
        </is>
      </c>
    </row>
    <row r="523">
      <c r="A523" t="inlineStr">
        <is>
          <t>conditioned on the non-exercise of one or more of the rights that are</t>
        </is>
      </c>
    </row>
    <row r="524">
      <c r="A524" t="inlineStr">
        <is>
          <t>specifically granted under this License.  You may not convey a covered</t>
        </is>
      </c>
    </row>
    <row r="525">
      <c r="A525" t="inlineStr">
        <is>
          <t>work if you are a party to an arrangement with a third party that is</t>
        </is>
      </c>
    </row>
    <row r="526">
      <c r="A526" t="inlineStr">
        <is>
          <t>in the business of distributing software, under which you make payment</t>
        </is>
      </c>
    </row>
    <row r="527">
      <c r="A527" t="inlineStr">
        <is>
          <t>to the third party based on the extent of your activity of conveying</t>
        </is>
      </c>
    </row>
    <row r="528">
      <c r="A528" t="inlineStr">
        <is>
          <t>the work, and under which the third party grants, to any of the</t>
        </is>
      </c>
    </row>
    <row r="529">
      <c r="A529" t="inlineStr">
        <is>
          <t>parties who would receive the covered work from you, a discriminatory</t>
        </is>
      </c>
    </row>
    <row r="530">
      <c r="A530" t="inlineStr">
        <is>
          <t>patent license (a) in connection with copies of the covered work</t>
        </is>
      </c>
    </row>
    <row r="531">
      <c r="A531" t="inlineStr">
        <is>
          <t>conveyed by you (or copies made from those copies), or (b) primarily</t>
        </is>
      </c>
    </row>
    <row r="532">
      <c r="A532" t="inlineStr">
        <is>
          <t>for and in connection with specific products or compilations that</t>
        </is>
      </c>
    </row>
    <row r="533">
      <c r="A533" t="inlineStr">
        <is>
          <t>contain the covered work, unless you entered into that arrangement,</t>
        </is>
      </c>
    </row>
    <row r="534">
      <c r="A534" t="inlineStr">
        <is>
          <t>or that patent license was granted, prior to 28 March 2007.</t>
        </is>
      </c>
    </row>
    <row r="536">
      <c r="A536" t="inlineStr">
        <is>
          <t xml:space="preserve">  Nothing in this License shall be construed as excluding or limiting</t>
        </is>
      </c>
    </row>
    <row r="537">
      <c r="A537" t="inlineStr">
        <is>
          <t>any implied license or other defenses to infringement that may</t>
        </is>
      </c>
    </row>
    <row r="538">
      <c r="A538" t="inlineStr">
        <is>
          <t>otherwise be available to you under applicable patent law.</t>
        </is>
      </c>
    </row>
    <row r="540">
      <c r="A540" t="inlineStr">
        <is>
          <t xml:space="preserve">  12. No Surrender of Others' Freedom.</t>
        </is>
      </c>
    </row>
    <row r="542">
      <c r="A542" t="inlineStr">
        <is>
          <t xml:space="preserve">  If conditions are imposed on you (whether by court order, agreement or</t>
        </is>
      </c>
    </row>
    <row r="543">
      <c r="A543" t="inlineStr">
        <is>
          <t>otherwise) that contradict the conditions of this License, they do not</t>
        </is>
      </c>
    </row>
    <row r="544">
      <c r="A544" t="inlineStr">
        <is>
          <t>excuse you from the conditions of this License.  If you cannot convey a</t>
        </is>
      </c>
    </row>
    <row r="545">
      <c r="A545" t="inlineStr">
        <is>
          <t>covered work so as to satisfy simultaneously your obligations under this</t>
        </is>
      </c>
    </row>
    <row r="546">
      <c r="A546" t="inlineStr">
        <is>
          <t>License and any other pertinent obligations, then as a consequence you may</t>
        </is>
      </c>
    </row>
    <row r="547">
      <c r="A547" t="inlineStr">
        <is>
          <t>not convey it at all.  For example, if you agree to terms that obligate you</t>
        </is>
      </c>
    </row>
    <row r="548">
      <c r="A548" t="inlineStr">
        <is>
          <t>to collect a royalty for further conveying from those to whom you convey</t>
        </is>
      </c>
    </row>
    <row r="549">
      <c r="A549" t="inlineStr">
        <is>
          <t>the Program, the only way you could satisfy both those terms and this</t>
        </is>
      </c>
    </row>
    <row r="550">
      <c r="A550" t="inlineStr">
        <is>
          <t>License would be to refrain entirely from conveying the Program.</t>
        </is>
      </c>
    </row>
    <row r="552">
      <c r="A552" t="inlineStr">
        <is>
          <t xml:space="preserve">  13. Use with the GNU Affero General Public License.</t>
        </is>
      </c>
    </row>
    <row r="554">
      <c r="A554" t="inlineStr">
        <is>
          <t xml:space="preserve">  Notwithstanding any other provision of this License, you have</t>
        </is>
      </c>
    </row>
    <row r="555">
      <c r="A555" t="inlineStr">
        <is>
          <t>permission to link or combine any covered work with a work licensed</t>
        </is>
      </c>
    </row>
    <row r="556">
      <c r="A556" t="inlineStr">
        <is>
          <t>under version 3 of the GNU Affero General Public License into a single</t>
        </is>
      </c>
    </row>
    <row r="557">
      <c r="A557" t="inlineStr">
        <is>
          <t>combined work, and to convey the resulting work.  The terms of this</t>
        </is>
      </c>
    </row>
    <row r="558">
      <c r="A558" t="inlineStr">
        <is>
          <t>License will continue to apply to the part which is the covered work,</t>
        </is>
      </c>
    </row>
    <row r="559">
      <c r="A559" t="inlineStr">
        <is>
          <t>but the special requirements of the GNU Affero General Public License,</t>
        </is>
      </c>
    </row>
    <row r="560">
      <c r="A560" t="inlineStr">
        <is>
          <t>section 13, concerning interaction through a network will apply to the</t>
        </is>
      </c>
    </row>
    <row r="561">
      <c r="A561" t="inlineStr">
        <is>
          <t>combination as such.</t>
        </is>
      </c>
    </row>
    <row r="563">
      <c r="A563" t="inlineStr">
        <is>
          <t xml:space="preserve">  14. Revised Versions of this License.</t>
        </is>
      </c>
    </row>
    <row r="565">
      <c r="A565" t="inlineStr">
        <is>
          <t xml:space="preserve">  The Free Software Foundation may publish revised and/or new versions of</t>
        </is>
      </c>
    </row>
    <row r="566">
      <c r="A566" t="inlineStr">
        <is>
          <t>the GNU General Public License from time to time.  Such new versions will</t>
        </is>
      </c>
    </row>
    <row r="567">
      <c r="A567" t="inlineStr">
        <is>
          <t>be similar in spirit to the present version, but may differ in detail to</t>
        </is>
      </c>
    </row>
    <row r="568">
      <c r="A568" t="inlineStr">
        <is>
          <t>address new problems or concerns.</t>
        </is>
      </c>
    </row>
    <row r="570">
      <c r="A570" t="inlineStr">
        <is>
          <t xml:space="preserve">  Each version is given a distinguishing version number.  If the</t>
        </is>
      </c>
    </row>
    <row r="571">
      <c r="A571" t="inlineStr">
        <is>
          <t>Program specifies that a certain numbered version of the GNU General</t>
        </is>
      </c>
    </row>
    <row r="572">
      <c r="A572" t="inlineStr">
        <is>
          <t>Public License "or any later version" applies to it, you have the</t>
        </is>
      </c>
    </row>
    <row r="573">
      <c r="A573" t="inlineStr">
        <is>
          <t>option of following the terms and conditions either of that numbered</t>
        </is>
      </c>
    </row>
    <row r="574">
      <c r="A574" t="inlineStr">
        <is>
          <t>version or of any later version published by the Free Software</t>
        </is>
      </c>
    </row>
    <row r="575">
      <c r="A575" t="inlineStr">
        <is>
          <t>Foundation.  If the Program does not specify a version number of the</t>
        </is>
      </c>
    </row>
    <row r="576">
      <c r="A576" t="inlineStr">
        <is>
          <t>GNU General Public License, you may choose any version ever published</t>
        </is>
      </c>
    </row>
    <row r="577">
      <c r="A577" t="inlineStr">
        <is>
          <t>by the Free Software Foundation.</t>
        </is>
      </c>
    </row>
    <row r="579">
      <c r="A579" t="inlineStr">
        <is>
          <t xml:space="preserve">  If the Program specifies that a proxy can decide which future</t>
        </is>
      </c>
    </row>
    <row r="580">
      <c r="A580" t="inlineStr">
        <is>
          <t>versions of the GNU General Public License can be used, that proxy's</t>
        </is>
      </c>
    </row>
    <row r="581">
      <c r="A581" t="inlineStr">
        <is>
          <t>public statement of acceptance of a version permanently authorizes you</t>
        </is>
      </c>
    </row>
    <row r="582">
      <c r="A582" t="inlineStr">
        <is>
          <t>to choose that version for the Program.</t>
        </is>
      </c>
    </row>
    <row r="584">
      <c r="A584" t="inlineStr">
        <is>
          <t xml:space="preserve">  Later license versions may give you additional or different</t>
        </is>
      </c>
    </row>
    <row r="585">
      <c r="A585" t="inlineStr">
        <is>
          <t>permissions.  However, no additional obligations are imposed on any</t>
        </is>
      </c>
    </row>
    <row r="586">
      <c r="A586" t="inlineStr">
        <is>
          <t>author or copyright holder as a result of your choosing to follow a</t>
        </is>
      </c>
    </row>
    <row r="587">
      <c r="A587" t="inlineStr">
        <is>
          <t>later version.</t>
        </is>
      </c>
    </row>
    <row r="589">
      <c r="A589" t="inlineStr">
        <is>
          <t xml:space="preserve">  15. Disclaimer of Warranty.</t>
        </is>
      </c>
    </row>
    <row r="591">
      <c r="A591" t="inlineStr">
        <is>
          <t xml:space="preserve">  THERE IS NO WARRANTY FOR THE PROGRAM, TO THE EXTENT PERMITTED BY</t>
        </is>
      </c>
    </row>
    <row r="592">
      <c r="A592" t="inlineStr">
        <is>
          <t>APPLICABLE LAW.  EXCEPT WHEN OTHERWISE STATED IN WRITING THE COPYRIGHT</t>
        </is>
      </c>
    </row>
    <row r="593">
      <c r="A593" t="inlineStr">
        <is>
          <t>HOLDERS AND/OR OTHER PARTIES PROVIDE THE PROGRAM "AS IS" WITHOUT WARRANTY</t>
        </is>
      </c>
    </row>
    <row r="594">
      <c r="A594" t="inlineStr">
        <is>
          <t>OF ANY KIND, EITHER EXPRESSED OR IMPLIED, INCLUDING, BUT NOT LIMITED TO,</t>
        </is>
      </c>
    </row>
    <row r="595">
      <c r="A595" t="inlineStr">
        <is>
          <t>THE IMPLIED WARRANTIES OF MERCHANTABILITY AND FITNESS FOR A PARTICULAR</t>
        </is>
      </c>
    </row>
    <row r="596">
      <c r="A596" t="inlineStr">
        <is>
          <t>PURPOSE.  THE ENTIRE RISK AS TO THE QUALITY AND PERFORMANCE OF THE PROGRAM</t>
        </is>
      </c>
    </row>
    <row r="597">
      <c r="A597" t="inlineStr">
        <is>
          <t>IS WITH YOU.  SHOULD THE PROGRAM PROVE DEFECTIVE, YOU ASSUME THE COST OF</t>
        </is>
      </c>
    </row>
    <row r="598">
      <c r="A598" t="inlineStr">
        <is>
          <t>ALL NECESSARY SERVICING, REPAIR OR CORRECTION.</t>
        </is>
      </c>
    </row>
    <row r="600">
      <c r="A600" t="inlineStr">
        <is>
          <t xml:space="preserve">  16. Limitation of Liability.</t>
        </is>
      </c>
    </row>
    <row r="602">
      <c r="A602" t="inlineStr">
        <is>
          <t xml:space="preserve">  IN NO EVENT UNLESS REQUIRED BY APPLICABLE LAW OR AGREED TO IN WRITING</t>
        </is>
      </c>
    </row>
    <row r="603">
      <c r="A603" t="inlineStr">
        <is>
          <t>WILL ANY COPYRIGHT HOLDER, OR ANY OTHER PARTY WHO MODIFIES AND/OR CONVEYS</t>
        </is>
      </c>
    </row>
    <row r="604">
      <c r="A604" t="inlineStr">
        <is>
          <t>THE PROGRAM AS PERMITTED ABOVE, BE LIABLE TO YOU FOR DAMAGES, INCLUDING ANY</t>
        </is>
      </c>
    </row>
    <row r="605">
      <c r="A605" t="inlineStr">
        <is>
          <t>GENERAL, SPECIAL, INCIDENTAL OR CONSEQUENTIAL DAMAGES ARISING OUT OF THE</t>
        </is>
      </c>
    </row>
    <row r="606">
      <c r="A606" t="inlineStr">
        <is>
          <t>USE OR INABILITY TO USE THE PROGRAM (INCLUDING BUT NOT LIMITED TO LOSS OF</t>
        </is>
      </c>
    </row>
    <row r="607">
      <c r="A607" t="inlineStr">
        <is>
          <t>DATA OR DATA BEING RENDERED INACCURATE OR LOSSES SUSTAINED BY YOU OR THIRD</t>
        </is>
      </c>
    </row>
    <row r="608">
      <c r="A608" t="inlineStr">
        <is>
          <t>PARTIES OR A FAILURE OF THE PROGRAM TO OPERATE WITH ANY OTHER PROGRAMS),</t>
        </is>
      </c>
    </row>
    <row r="609">
      <c r="A609" t="inlineStr">
        <is>
          <t>EVEN IF SUCH HOLDER OR OTHER PARTY HAS BEEN ADVISED OF THE POSSIBILITY OF</t>
        </is>
      </c>
    </row>
    <row r="610">
      <c r="A610" t="inlineStr">
        <is>
          <t>SUCH DAMAGES.</t>
        </is>
      </c>
    </row>
    <row r="612">
      <c r="A612" t="inlineStr">
        <is>
          <t xml:space="preserve">  17. Interpretation of Sections 15 and 16.</t>
        </is>
      </c>
    </row>
    <row r="614">
      <c r="A614" t="inlineStr">
        <is>
          <t xml:space="preserve">  If the disclaimer of warranty and limitation of liability provided</t>
        </is>
      </c>
    </row>
    <row r="615">
      <c r="A615" t="inlineStr">
        <is>
          <t>above cannot be given local legal effect according to their terms,</t>
        </is>
      </c>
    </row>
    <row r="616">
      <c r="A616" t="inlineStr">
        <is>
          <t>reviewing courts shall apply local law that most closely approximates</t>
        </is>
      </c>
    </row>
    <row r="617">
      <c r="A617" t="inlineStr">
        <is>
          <t>an absolute waiver of all civil liability in connection with the</t>
        </is>
      </c>
    </row>
    <row r="618">
      <c r="A618" t="inlineStr">
        <is>
          <t>Program, unless a warranty or assumption of liability accompanies a</t>
        </is>
      </c>
    </row>
    <row r="619">
      <c r="A619" t="inlineStr">
        <is>
          <t>copy of the Program in return for a fee.</t>
        </is>
      </c>
    </row>
    <row r="621">
      <c r="A621" t="inlineStr">
        <is>
          <t xml:space="preserve">                     END OF TERMS AND CONDITIONS</t>
        </is>
      </c>
    </row>
    <row r="623">
      <c r="A623" t="inlineStr">
        <is>
          <t xml:space="preserve">            How to Apply These Terms to Your New Programs</t>
        </is>
      </c>
    </row>
    <row r="625">
      <c r="A625" t="inlineStr">
        <is>
          <t xml:space="preserve">  If you develop a new program, and you want it to be of the greatest</t>
        </is>
      </c>
    </row>
    <row r="626">
      <c r="A626" t="inlineStr">
        <is>
          <t>possible use to the public, the best way to achieve this is to make it</t>
        </is>
      </c>
    </row>
    <row r="627">
      <c r="A627" t="inlineStr">
        <is>
          <t>free software which everyone can redistribute and change under these terms.</t>
        </is>
      </c>
    </row>
    <row r="629">
      <c r="A629" t="inlineStr">
        <is>
          <t xml:space="preserve">  To do so, attach the following notices to the program.  It is safest</t>
        </is>
      </c>
    </row>
    <row r="630">
      <c r="A630" t="inlineStr">
        <is>
          <t>to attach them to the start of each source file to most effectively</t>
        </is>
      </c>
    </row>
    <row r="631">
      <c r="A631" t="inlineStr">
        <is>
          <t>state the exclusion of warranty; and each file should have at least</t>
        </is>
      </c>
    </row>
    <row r="632">
      <c r="A632" t="inlineStr">
        <is>
          <t>the "copyright" line and a pointer to where the full notice is found.</t>
        </is>
      </c>
    </row>
    <row r="634">
      <c r="A634" t="inlineStr">
        <is>
          <t xml:space="preserve">    &lt;one line to give the program's name and a brief idea of what it does.&gt;</t>
        </is>
      </c>
    </row>
    <row r="635">
      <c r="A635" t="inlineStr">
        <is>
          <t xml:space="preserve">    Copyright (C) &lt;year&gt;  &lt;name of author&gt;</t>
        </is>
      </c>
    </row>
    <row r="637">
      <c r="A637" t="inlineStr">
        <is>
          <t xml:space="preserve">    This program is free software: you can redistribute it and/or modify</t>
        </is>
      </c>
    </row>
    <row r="638">
      <c r="A638" t="inlineStr">
        <is>
          <t xml:space="preserve">    it under the terms of the GNU General Public License as published by</t>
        </is>
      </c>
    </row>
    <row r="639">
      <c r="A639" t="inlineStr">
        <is>
          <t xml:space="preserve">    the Free Software Foundation, either version 3 of the License, or</t>
        </is>
      </c>
    </row>
    <row r="640">
      <c r="A640" t="inlineStr">
        <is>
          <t xml:space="preserve">    (at your option) any later version.</t>
        </is>
      </c>
    </row>
    <row r="642">
      <c r="A642" t="inlineStr">
        <is>
          <t xml:space="preserve">    This program is distributed in the hope that it will be useful,</t>
        </is>
      </c>
    </row>
    <row r="643">
      <c r="A643" t="inlineStr">
        <is>
          <t xml:space="preserve">    but WITHOUT ANY WARRANTY; without even the implied warranty of</t>
        </is>
      </c>
    </row>
    <row r="644">
      <c r="A644" t="inlineStr">
        <is>
          <t xml:space="preserve">    MERCHANTABILITY or FITNESS FOR A PARTICULAR PURPOSE.  See the</t>
        </is>
      </c>
    </row>
    <row r="645">
      <c r="A645" t="inlineStr">
        <is>
          <t xml:space="preserve">    GNU General Public License for more details.</t>
        </is>
      </c>
    </row>
    <row r="647">
      <c r="A647" t="inlineStr">
        <is>
          <t xml:space="preserve">    You should have received a copy of the GNU General Public License</t>
        </is>
      </c>
    </row>
    <row r="648">
      <c r="A648" t="inlineStr">
        <is>
          <t xml:space="preserve">    along with this program.  If not, see &lt;https://www.gnu.org/licenses/&gt;.</t>
        </is>
      </c>
    </row>
    <row r="650">
      <c r="A650" t="inlineStr">
        <is>
          <t>Also add information on how to contact you by electronic and paper mail.</t>
        </is>
      </c>
    </row>
    <row r="652">
      <c r="A652" t="inlineStr">
        <is>
          <t xml:space="preserve">  If the program does terminal interaction, make it output a short</t>
        </is>
      </c>
    </row>
    <row r="653">
      <c r="A653" t="inlineStr">
        <is>
          <t>notice like this when it starts in an interactive mode:</t>
        </is>
      </c>
    </row>
    <row r="655">
      <c r="A655" t="inlineStr">
        <is>
          <t xml:space="preserve">    &lt;program&gt;  Copyright (C) &lt;year&gt;  &lt;name of author&gt;</t>
        </is>
      </c>
    </row>
    <row r="656">
      <c r="A656" t="inlineStr">
        <is>
          <t xml:space="preserve">    This program comes with ABSOLUTELY NO WARRANTY; for details type `show w'.</t>
        </is>
      </c>
    </row>
    <row r="657">
      <c r="A657" t="inlineStr">
        <is>
          <t xml:space="preserve">    This is free software, and you are welcome to redistribute it</t>
        </is>
      </c>
    </row>
    <row r="658">
      <c r="A658" t="inlineStr">
        <is>
          <t xml:space="preserve">    under certain conditions; type `show c' for details.</t>
        </is>
      </c>
    </row>
    <row r="660">
      <c r="A660" t="inlineStr">
        <is>
          <t>The hypothetical commands `show w' and `show c' should show the appropriate</t>
        </is>
      </c>
    </row>
    <row r="661">
      <c r="A661" t="inlineStr">
        <is>
          <t>parts of the General Public License.  Of course, your program's commands</t>
        </is>
      </c>
    </row>
    <row r="662">
      <c r="A662" t="inlineStr">
        <is>
          <t>might be different; for a GUI interface, you would use an "about box".</t>
        </is>
      </c>
    </row>
    <row r="664">
      <c r="A664" t="inlineStr">
        <is>
          <t xml:space="preserve">  You should also get your employer (if you work as a programmer) or school,</t>
        </is>
      </c>
    </row>
    <row r="665">
      <c r="A665" t="inlineStr">
        <is>
          <t>if any, to sign a "copyright disclaimer" for the program, if necessary.</t>
        </is>
      </c>
    </row>
    <row r="666">
      <c r="A666" t="inlineStr">
        <is>
          <t>For more information on this, and how to apply and follow the GNU GPL, see</t>
        </is>
      </c>
    </row>
    <row r="667">
      <c r="A667" t="inlineStr">
        <is>
          <t>&lt;https://www.gnu.org/licenses/&gt;.</t>
        </is>
      </c>
    </row>
    <row r="669">
      <c r="A669" t="inlineStr">
        <is>
          <t xml:space="preserve">  The GNU General Public License does not permit incorporating your program</t>
        </is>
      </c>
    </row>
    <row r="670">
      <c r="A670" t="inlineStr">
        <is>
          <t>into proprietary programs.  If your program is a subroutine library, you</t>
        </is>
      </c>
    </row>
    <row r="671">
      <c r="A671" t="inlineStr">
        <is>
          <t>may consider it more useful to permit linking proprietary applications with</t>
        </is>
      </c>
    </row>
    <row r="672">
      <c r="A672" t="inlineStr">
        <is>
          <t>the library.  If this is what you want to do, use the GNU Lesser General</t>
        </is>
      </c>
    </row>
    <row r="673">
      <c r="A673" t="inlineStr">
        <is>
          <t>Public License instead of this License.  But first, please read</t>
        </is>
      </c>
    </row>
    <row r="674">
      <c r="A674" t="inlineStr">
        <is>
          <t>&lt;https://www.gnu.org/licenses/why-not-lgpl.html&gt;.</t>
        </is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3NtQPgBOxaPB+0jmeIJ8Jw==" formatRows="1" sort="1" spinCount="100000" hashValue="3WTOo2lpMaJjWOPmF+/uv29F+kYXfG2O/HGBWnTrMXx1FyEj2SmpVi5RKzYS1KYtlELac5CGYXN0NSl3pGUM1A=="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Antonio T. Marquez Muñoz</dc:creator>
  <dcterms:created xsi:type="dcterms:W3CDTF">2006-09-12T12:46:56Z</dcterms:created>
  <dcterms:modified xsi:type="dcterms:W3CDTF">2026-04-20T17:13:34Z</dcterms:modified>
  <cp:lastModifiedBy>Office</cp:lastModifiedBy>
</cp:coreProperties>
</file>